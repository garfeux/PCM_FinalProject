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2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7" rupBuild="11207"/>
  <workbookPr dateCompatibility="0" defaultThemeVersion="202300"/>
  <mc:AlternateContent xmlns:mc="http://schemas.openxmlformats.org/markup-compatibility/2006">
    <mc:Choice Requires="x15">
      <x15ac:absPath xmlns:x15ac="http://schemas.microsoft.com/office/spreadsheetml/2010/11/ac" url="/Users/baptistedupertuis/Documents/Etudes/MSE/PCM/Projet/v2/PCM_FinalProject/"/>
    </mc:Choice>
  </mc:AlternateContent>
  <xr:revisionPtr revIDLastSave="0" documentId="13_ncr:9_{14CFD34B-CFB6-DD43-A229-8756AE296E84}" xr6:coauthVersionLast="47" xr6:coauthVersionMax="47" xr10:uidLastSave="{00000000-0000-0000-0000-000000000000}"/>
  <bookViews>
    <workbookView xWindow="34560" yWindow="-1920" windowWidth="38400" windowHeight="21100" xr2:uid="{484D20E6-2301-4D49-A5A3-FE8C8485E710}"/>
  </bookViews>
  <sheets>
    <sheet name="empty-queue-data" sheetId="1" r:id="rId1"/>
    <sheet name="Feuil1" sheetId="2" r:id="rId2"/>
  </sheets>
  <definedNames>
    <definedName name="_xlchart.v1.0" hidden="1">'empty-queue-data'!$A$77:$A$84</definedName>
    <definedName name="_xlchart.v1.1" hidden="1">'empty-queue-data'!$B$76</definedName>
    <definedName name="_xlchart.v1.10" hidden="1">'empty-queue-data'!$B$76</definedName>
    <definedName name="_xlchart.v1.11" hidden="1">'empty-queue-data'!$B$77:$B$84</definedName>
    <definedName name="_xlchart.v1.12" hidden="1">'empty-queue-data'!$C$76</definedName>
    <definedName name="_xlchart.v1.13" hidden="1">'empty-queue-data'!$C$77:$C$84</definedName>
    <definedName name="_xlchart.v1.14" hidden="1">'empty-queue-data'!$D$76</definedName>
    <definedName name="_xlchart.v1.15" hidden="1">'empty-queue-data'!$D$77:$D$84</definedName>
    <definedName name="_xlchart.v1.16" hidden="1">'empty-queue-data'!$E$76</definedName>
    <definedName name="_xlchart.v1.17" hidden="1">'empty-queue-data'!$E$77:$E$84</definedName>
    <definedName name="_xlchart.v1.18" hidden="1">'empty-queue-data'!$A$77:$A$84</definedName>
    <definedName name="_xlchart.v1.19" hidden="1">'empty-queue-data'!$B$76</definedName>
    <definedName name="_xlchart.v1.2" hidden="1">'empty-queue-data'!$B$77:$B$84</definedName>
    <definedName name="_xlchart.v1.20" hidden="1">'empty-queue-data'!$B$77:$B$84</definedName>
    <definedName name="_xlchart.v1.21" hidden="1">'empty-queue-data'!$C$76</definedName>
    <definedName name="_xlchart.v1.22" hidden="1">'empty-queue-data'!$C$77:$C$84</definedName>
    <definedName name="_xlchart.v1.23" hidden="1">'empty-queue-data'!$D$76</definedName>
    <definedName name="_xlchart.v1.24" hidden="1">'empty-queue-data'!$D$77:$D$84</definedName>
    <definedName name="_xlchart.v1.25" hidden="1">'empty-queue-data'!$E$76</definedName>
    <definedName name="_xlchart.v1.26" hidden="1">'empty-queue-data'!$E$77:$E$84</definedName>
    <definedName name="_xlchart.v1.27" hidden="1">'empty-queue-data'!$A$77:$A$84</definedName>
    <definedName name="_xlchart.v1.28" hidden="1">'empty-queue-data'!$B$76</definedName>
    <definedName name="_xlchart.v1.29" hidden="1">'empty-queue-data'!$B$77:$B$84</definedName>
    <definedName name="_xlchart.v1.3" hidden="1">'empty-queue-data'!$C$76</definedName>
    <definedName name="_xlchart.v1.30" hidden="1">'empty-queue-data'!$C$76</definedName>
    <definedName name="_xlchart.v1.31" hidden="1">'empty-queue-data'!$C$77:$C$84</definedName>
    <definedName name="_xlchart.v1.32" hidden="1">'empty-queue-data'!$D$76</definedName>
    <definedName name="_xlchart.v1.33" hidden="1">'empty-queue-data'!$D$77:$D$84</definedName>
    <definedName name="_xlchart.v1.34" hidden="1">'empty-queue-data'!$E$76</definedName>
    <definedName name="_xlchart.v1.35" hidden="1">'empty-queue-data'!$E$77:$E$84</definedName>
    <definedName name="_xlchart.v1.36" hidden="1">'empty-queue-data'!$A$77:$A$84</definedName>
    <definedName name="_xlchart.v1.37" hidden="1">'empty-queue-data'!$B$76</definedName>
    <definedName name="_xlchart.v1.38" hidden="1">'empty-queue-data'!$B$77:$B$84</definedName>
    <definedName name="_xlchart.v1.39" hidden="1">'empty-queue-data'!$C$76</definedName>
    <definedName name="_xlchart.v1.4" hidden="1">'empty-queue-data'!$C$77:$C$84</definedName>
    <definedName name="_xlchart.v1.40" hidden="1">'empty-queue-data'!$C$77:$C$84</definedName>
    <definedName name="_xlchart.v1.41" hidden="1">'empty-queue-data'!$D$76</definedName>
    <definedName name="_xlchart.v1.42" hidden="1">'empty-queue-data'!$D$77:$D$84</definedName>
    <definedName name="_xlchart.v1.43" hidden="1">'empty-queue-data'!$E$76</definedName>
    <definedName name="_xlchart.v1.44" hidden="1">'empty-queue-data'!$E$77:$E$84</definedName>
    <definedName name="_xlchart.v1.5" hidden="1">'empty-queue-data'!$D$76</definedName>
    <definedName name="_xlchart.v1.6" hidden="1">'empty-queue-data'!$D$77:$D$84</definedName>
    <definedName name="_xlchart.v1.7" hidden="1">'empty-queue-data'!$E$76</definedName>
    <definedName name="_xlchart.v1.8" hidden="1">'empty-queue-data'!$E$77:$E$84</definedName>
    <definedName name="_xlchart.v1.9" hidden="1">'empty-queue-data'!$A$77:$A$84</definedName>
  </definedNames>
  <calcPr calcId="191029"/>
  <extLs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purl.oclc.org/ooxml/spreadsheetml/main">
  <c r="F107" i="2" l="1"/>
  <c r="G107" i="2"/>
  <c r="E107" i="2"/>
  <c r="D107" i="2"/>
  <c r="C107" i="2"/>
  <c r="B107" i="2"/>
  <c r="G106" i="2"/>
  <c r="F106" i="2"/>
  <c r="E106" i="2"/>
  <c r="D106" i="2"/>
  <c r="C106" i="2"/>
  <c r="B106" i="2"/>
  <c r="G105" i="2"/>
  <c r="F105" i="2"/>
  <c r="E105" i="2"/>
  <c r="D105" i="2"/>
  <c r="C105" i="2"/>
  <c r="B105" i="2"/>
  <c r="G104" i="2"/>
  <c r="F104" i="2"/>
  <c r="E104" i="2"/>
  <c r="D104" i="2"/>
  <c r="C104" i="2"/>
  <c r="B104" i="2"/>
  <c r="G103" i="2"/>
  <c r="F103" i="2"/>
  <c r="E103" i="2"/>
  <c r="D103" i="2"/>
  <c r="C103" i="2"/>
  <c r="B103" i="2"/>
  <c r="G102" i="2"/>
  <c r="F102" i="2"/>
  <c r="E102" i="2"/>
  <c r="D102" i="2"/>
  <c r="C102" i="2"/>
  <c r="B102" i="2"/>
  <c r="G101" i="2"/>
  <c r="F101" i="2"/>
  <c r="E101" i="2"/>
  <c r="D101" i="2"/>
  <c r="C101" i="2"/>
  <c r="B101" i="2"/>
  <c r="G100" i="2"/>
  <c r="F100" i="2"/>
  <c r="E100" i="2"/>
  <c r="D100" i="2"/>
  <c r="C100" i="2"/>
  <c r="B100" i="2"/>
  <c r="G100" i="1"/>
  <c r="C100" i="1"/>
  <c r="D100" i="1"/>
  <c r="E100" i="1"/>
  <c r="F100" i="1"/>
  <c r="C101" i="1"/>
  <c r="D101" i="1"/>
  <c r="E101" i="1"/>
  <c r="F101" i="1"/>
  <c r="G101" i="1"/>
  <c r="C102" i="1"/>
  <c r="D102" i="1"/>
  <c r="E102" i="1"/>
  <c r="F102" i="1"/>
  <c r="G102" i="1"/>
  <c r="C103" i="1"/>
  <c r="D103" i="1"/>
  <c r="E103" i="1"/>
  <c r="F103" i="1"/>
  <c r="G103" i="1"/>
  <c r="C104" i="1"/>
  <c r="D104" i="1"/>
  <c r="E104" i="1"/>
  <c r="F104" i="1"/>
  <c r="G104" i="1"/>
  <c r="C105" i="1"/>
  <c r="D105" i="1"/>
  <c r="E105" i="1"/>
  <c r="F105" i="1"/>
  <c r="G105" i="1"/>
  <c r="C106" i="1"/>
  <c r="D106" i="1"/>
  <c r="E106" i="1"/>
  <c r="F106" i="1"/>
  <c r="G106" i="1"/>
  <c r="C107" i="1"/>
  <c r="D107" i="1"/>
  <c r="E107" i="1"/>
  <c r="F107" i="1"/>
  <c r="G107" i="1"/>
  <c r="B101" i="1"/>
  <c r="B102" i="1"/>
  <c r="B103" i="1"/>
  <c r="B104" i="1"/>
  <c r="B105" i="1"/>
  <c r="B106" i="1"/>
  <c r="B107" i="1"/>
  <c r="B100" i="1"/>
  <c r="B90" i="1"/>
  <c r="B90" i="2"/>
  <c r="G97" i="2"/>
  <c r="F97" i="2"/>
  <c r="E97" i="2"/>
  <c r="D97" i="2"/>
  <c r="C97" i="2"/>
  <c r="B97" i="2"/>
  <c r="G96" i="2"/>
  <c r="F96" i="2"/>
  <c r="E96" i="2"/>
  <c r="D96" i="2"/>
  <c r="C96" i="2"/>
  <c r="B96" i="2"/>
  <c r="G95" i="2"/>
  <c r="F95" i="2"/>
  <c r="E95" i="2"/>
  <c r="D95" i="2"/>
  <c r="C95" i="2"/>
  <c r="B95" i="2"/>
  <c r="G94" i="2"/>
  <c r="F94" i="2"/>
  <c r="E94" i="2"/>
  <c r="D94" i="2"/>
  <c r="C94" i="2"/>
  <c r="B94" i="2"/>
  <c r="G93" i="2"/>
  <c r="F93" i="2"/>
  <c r="E93" i="2"/>
  <c r="D93" i="2"/>
  <c r="C93" i="2"/>
  <c r="B93" i="2"/>
  <c r="G92" i="2"/>
  <c r="F92" i="2"/>
  <c r="E92" i="2"/>
  <c r="D92" i="2"/>
  <c r="C92" i="2"/>
  <c r="B92" i="2"/>
  <c r="G91" i="2"/>
  <c r="F91" i="2"/>
  <c r="E91" i="2"/>
  <c r="D91" i="2"/>
  <c r="C91" i="2"/>
  <c r="B91" i="2"/>
  <c r="G90" i="2"/>
  <c r="F90" i="2"/>
  <c r="E90" i="2"/>
  <c r="D90" i="2"/>
  <c r="C90" i="2"/>
  <c r="G91" i="1"/>
  <c r="G92" i="1"/>
  <c r="G93" i="1"/>
  <c r="G94" i="1"/>
  <c r="G95" i="1"/>
  <c r="G96" i="1"/>
  <c r="G97" i="1"/>
  <c r="F91" i="1"/>
  <c r="F92" i="1"/>
  <c r="F93" i="1"/>
  <c r="F94" i="1"/>
  <c r="F95" i="1"/>
  <c r="F96" i="1"/>
  <c r="F97" i="1"/>
  <c r="E91" i="1"/>
  <c r="E92" i="1"/>
  <c r="E93" i="1"/>
  <c r="E94" i="1"/>
  <c r="E95" i="1"/>
  <c r="E96" i="1"/>
  <c r="E97" i="1"/>
  <c r="C91" i="1"/>
  <c r="C92" i="1"/>
  <c r="C93" i="1"/>
  <c r="C94" i="1"/>
  <c r="C95" i="1"/>
  <c r="C96" i="1"/>
  <c r="C97" i="1"/>
  <c r="D91" i="1"/>
  <c r="D92" i="1"/>
  <c r="D93" i="1"/>
  <c r="D94" i="1"/>
  <c r="D95" i="1"/>
  <c r="D96" i="1"/>
  <c r="D97" i="1"/>
  <c r="D90" i="1"/>
  <c r="C90" i="1"/>
  <c r="E90" i="1"/>
  <c r="F90" i="1"/>
  <c r="G90" i="1"/>
  <c r="B91" i="1"/>
  <c r="B92" i="1"/>
  <c r="B93" i="1"/>
  <c r="B94" i="1"/>
  <c r="B95" i="1"/>
  <c r="B96" i="1"/>
  <c r="B97" i="1"/>
  <c r="I20" i="2"/>
  <c r="I19" i="2"/>
  <c r="I18" i="2"/>
  <c r="I17" i="2"/>
  <c r="I16" i="2"/>
  <c r="H20" i="2"/>
  <c r="H19" i="2"/>
  <c r="H18" i="2"/>
  <c r="H17" i="2"/>
  <c r="H16" i="2"/>
  <c r="I24" i="2"/>
  <c r="I23" i="2"/>
  <c r="I22" i="2"/>
  <c r="I21" i="2"/>
  <c r="H24" i="2"/>
  <c r="H23" i="2"/>
  <c r="H22" i="2"/>
  <c r="H21" i="2"/>
  <c r="G24" i="2"/>
  <c r="G23" i="2"/>
  <c r="G22" i="2"/>
  <c r="G21" i="2"/>
  <c r="G20" i="2"/>
  <c r="G19" i="2"/>
  <c r="G18" i="2"/>
  <c r="G17" i="2"/>
  <c r="G16" i="2"/>
  <c r="I29" i="1"/>
  <c r="I28" i="1"/>
  <c r="I27" i="1"/>
  <c r="I26" i="1"/>
  <c r="I25" i="1"/>
  <c r="I24" i="1"/>
  <c r="I23" i="1"/>
  <c r="I22" i="1"/>
  <c r="I21" i="1"/>
  <c r="H29" i="1"/>
  <c r="H28" i="1"/>
  <c r="H27" i="1"/>
  <c r="H26" i="1"/>
  <c r="H25" i="1"/>
  <c r="H24" i="1"/>
  <c r="H23" i="1"/>
  <c r="H22" i="1"/>
  <c r="H21" i="1"/>
  <c r="G29" i="1"/>
  <c r="G28" i="1"/>
  <c r="G27" i="1"/>
  <c r="G26" i="1"/>
  <c r="G25" i="1"/>
  <c r="G24" i="1"/>
  <c r="G23" i="1"/>
  <c r="G22" i="1"/>
  <c r="G21" i="1"/>
  <c r="G7" i="1"/>
  <c r="G8" i="1"/>
  <c r="G10" i="1"/>
  <c r="G9" i="1"/>
  <c r="G6" i="1"/>
  <c r="G5" i="1"/>
  <c r="G4" i="1"/>
  <c r="G3" i="1"/>
  <c r="G2" i="1"/>
  <c r="G3" i="2"/>
  <c r="G4" i="2"/>
  <c r="G5" i="2"/>
  <c r="G6" i="2"/>
  <c r="G7" i="2"/>
  <c r="G8" i="2"/>
  <c r="G9" i="2"/>
  <c r="G10" i="2"/>
  <c r="G2" i="2"/>
  <c r="C85" i="2"/>
  <c r="D85" i="2"/>
  <c r="E85" i="2"/>
  <c r="F85" i="2"/>
  <c r="B85" i="2"/>
</calcChain>
</file>

<file path=xl/sharedStrings.xml><?xml version="1.0" encoding="utf-8"?>
<sst xmlns="http://purl.oclc.org/ooxml/spreadsheetml/main" count="60" uniqueCount="23">
  <si>
    <t>Cities</t>
  </si>
  <si>
    <t>Threads</t>
  </si>
  <si>
    <t>Execution Time (Average)</t>
  </si>
  <si>
    <t>threads</t>
  </si>
  <si>
    <t>18 villes</t>
  </si>
  <si>
    <t>17 villes</t>
  </si>
  <si>
    <t>16 villes</t>
  </si>
  <si>
    <t>15 villes</t>
  </si>
  <si>
    <t>14 villes</t>
  </si>
  <si>
    <t>13 villes</t>
  </si>
  <si>
    <t>variance ms</t>
  </si>
  <si>
    <t>192 Threads</t>
  </si>
  <si>
    <t>32 Threads</t>
  </si>
  <si>
    <t>96 Threads</t>
  </si>
  <si>
    <t>villes</t>
  </si>
  <si>
    <t>192 Threads v2</t>
  </si>
  <si>
    <t>32 Threads v2</t>
  </si>
  <si>
    <t>96 Threads v2</t>
  </si>
  <si>
    <t>192 Threads v1</t>
  </si>
  <si>
    <t>32 Threads v1</t>
  </si>
  <si>
    <t>96 Threads v1</t>
  </si>
  <si>
    <t>Prof</t>
  </si>
  <si>
    <t>efficience</t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</si>
</sst>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1"/>
      <name val="Aptos Narrow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start/>
      <end/>
      <top/>
      <bottom/>
      <diagonal/>
    </border>
    <border>
      <start/>
      <end/>
      <top/>
      <bottom style="thick">
        <color theme="4"/>
      </bottom>
      <diagonal/>
    </border>
    <border>
      <start/>
      <end/>
      <top/>
      <bottom style="thick">
        <color theme="4" tint="0.499984740745262"/>
      </bottom>
      <diagonal/>
    </border>
    <border>
      <start/>
      <end/>
      <top/>
      <bottom style="medium">
        <color theme="4" tint="0.39997558519241921"/>
      </bottom>
      <diagonal/>
    </border>
    <border>
      <start style="thin">
        <color rgb="FF7F7F7F"/>
      </start>
      <end style="thin">
        <color rgb="FF7F7F7F"/>
      </end>
      <top style="thin">
        <color rgb="FF7F7F7F"/>
      </top>
      <bottom style="thin">
        <color rgb="FF7F7F7F"/>
      </bottom>
      <diagonal/>
    </border>
    <border>
      <start style="thin">
        <color rgb="FF3F3F3F"/>
      </start>
      <end style="thin">
        <color rgb="FF3F3F3F"/>
      </end>
      <top style="thin">
        <color rgb="FF3F3F3F"/>
      </top>
      <bottom style="thin">
        <color rgb="FF3F3F3F"/>
      </bottom>
      <diagonal/>
    </border>
    <border>
      <start/>
      <end/>
      <top/>
      <bottom style="double">
        <color rgb="FFFF8001"/>
      </bottom>
      <diagonal/>
    </border>
    <border>
      <start style="double">
        <color rgb="FF3F3F3F"/>
      </start>
      <end style="double">
        <color rgb="FF3F3F3F"/>
      </end>
      <top style="double">
        <color rgb="FF3F3F3F"/>
      </top>
      <bottom style="double">
        <color rgb="FF3F3F3F"/>
      </bottom>
      <diagonal/>
    </border>
    <border>
      <start style="thin">
        <color rgb="FFB2B2B2"/>
      </start>
      <end style="thin">
        <color rgb="FFB2B2B2"/>
      </end>
      <top style="thin">
        <color rgb="FFB2B2B2"/>
      </top>
      <bottom style="thin">
        <color rgb="FFB2B2B2"/>
      </bottom>
      <diagonal/>
    </border>
    <border>
      <start/>
      <end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18" fillId="0" borderId="0" xfId="0" applyFont="1"/>
  </cellXfs>
  <cellStyles count="42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Neutre" xfId="8" builtinId="28" customBuiltin="1"/>
    <cellStyle name="Normal" xfId="0" builtinId="0"/>
    <cellStyle name="Note" xfId="15" builtinId="10" customBuiltin="1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purl.oclc.org/ooxml/officeDocument/relationships/theme" Target="theme/theme1.xml"/><Relationship Id="rId2" Type="http://purl.oclc.org/ooxml/officeDocument/relationships/worksheet" Target="worksheets/sheet2.xml"/><Relationship Id="rId1" Type="http://purl.oclc.org/ooxml/officeDocument/relationships/worksheet" Target="worksheets/sheet1.xml"/><Relationship Id="rId6" Type="http://purl.oclc.org/ooxml/officeDocument/relationships/calcChain" Target="calcChain.xml"/><Relationship Id="rId5" Type="http://purl.oclc.org/ooxml/officeDocument/relationships/sharedStrings" Target="sharedStrings.xml"/><Relationship Id="rId4" Type="http://purl.oclc.org/ooxml/officeDocument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chart1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Temps</a:t>
            </a:r>
            <a:r>
              <a:rPr lang="fr-FR" baseline="0%"/>
              <a:t> d'exécussion V1  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'empty-queue-data'!$B$76</c:f>
              <c:strCache>
                <c:ptCount val="1"/>
                <c:pt idx="0">
                  <c:v>18 villes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'empty-queue-data'!$A$77:$A$84</c:f>
              <c:numCache>
                <c:formatCode>General</c:formatCode>
                <c:ptCount val="8"/>
                <c:pt idx="0">
                  <c:v>32</c:v>
                </c:pt>
                <c:pt idx="1">
                  <c:v>64</c:v>
                </c:pt>
                <c:pt idx="2">
                  <c:v>96</c:v>
                </c:pt>
                <c:pt idx="3">
                  <c:v>128</c:v>
                </c:pt>
                <c:pt idx="4">
                  <c:v>160</c:v>
                </c:pt>
                <c:pt idx="5">
                  <c:v>192</c:v>
                </c:pt>
                <c:pt idx="6">
                  <c:v>224</c:v>
                </c:pt>
                <c:pt idx="7">
                  <c:v>256</c:v>
                </c:pt>
              </c:numCache>
            </c:numRef>
          </c:xVal>
          <c:yVal>
            <c:numRef>
              <c:f>'empty-queue-data'!$B$77:$B$84</c:f>
              <c:numCache>
                <c:formatCode>General</c:formatCode>
                <c:ptCount val="8"/>
                <c:pt idx="0">
                  <c:v>218787.5</c:v>
                </c:pt>
                <c:pt idx="1">
                  <c:v>111178.7</c:v>
                </c:pt>
                <c:pt idx="2">
                  <c:v>107659.9</c:v>
                </c:pt>
                <c:pt idx="3">
                  <c:v>78068.399999999994</c:v>
                </c:pt>
                <c:pt idx="4">
                  <c:v>78541.899999999994</c:v>
                </c:pt>
                <c:pt idx="5">
                  <c:v>78646.8</c:v>
                </c:pt>
                <c:pt idx="6">
                  <c:v>74474.5</c:v>
                </c:pt>
                <c:pt idx="7">
                  <c:v>77285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F89-DA4D-B2F3-096BE0DDF4E7}"/>
            </c:ext>
          </c:extLst>
        </c:ser>
        <c:ser>
          <c:idx val="1"/>
          <c:order val="1"/>
          <c:tx>
            <c:strRef>
              <c:f>'empty-queue-data'!$C$76</c:f>
              <c:strCache>
                <c:ptCount val="1"/>
                <c:pt idx="0">
                  <c:v>17 villes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'empty-queue-data'!$A$77:$A$84</c:f>
              <c:numCache>
                <c:formatCode>General</c:formatCode>
                <c:ptCount val="8"/>
                <c:pt idx="0">
                  <c:v>32</c:v>
                </c:pt>
                <c:pt idx="1">
                  <c:v>64</c:v>
                </c:pt>
                <c:pt idx="2">
                  <c:v>96</c:v>
                </c:pt>
                <c:pt idx="3">
                  <c:v>128</c:v>
                </c:pt>
                <c:pt idx="4">
                  <c:v>160</c:v>
                </c:pt>
                <c:pt idx="5">
                  <c:v>192</c:v>
                </c:pt>
                <c:pt idx="6">
                  <c:v>224</c:v>
                </c:pt>
                <c:pt idx="7">
                  <c:v>256</c:v>
                </c:pt>
              </c:numCache>
            </c:numRef>
          </c:xVal>
          <c:yVal>
            <c:numRef>
              <c:f>'empty-queue-data'!$C$77:$C$84</c:f>
              <c:numCache>
                <c:formatCode>General</c:formatCode>
                <c:ptCount val="8"/>
                <c:pt idx="0">
                  <c:v>43179.1</c:v>
                </c:pt>
                <c:pt idx="1">
                  <c:v>21218</c:v>
                </c:pt>
                <c:pt idx="2">
                  <c:v>18042.2</c:v>
                </c:pt>
                <c:pt idx="3">
                  <c:v>15352.7</c:v>
                </c:pt>
                <c:pt idx="4">
                  <c:v>16579.3</c:v>
                </c:pt>
                <c:pt idx="5">
                  <c:v>16088.8</c:v>
                </c:pt>
                <c:pt idx="6">
                  <c:v>16332.4</c:v>
                </c:pt>
                <c:pt idx="7">
                  <c:v>15601.3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F89-DA4D-B2F3-096BE0DDF4E7}"/>
            </c:ext>
          </c:extLst>
        </c:ser>
        <c:ser>
          <c:idx val="2"/>
          <c:order val="2"/>
          <c:tx>
            <c:strRef>
              <c:f>'empty-queue-data'!$D$76</c:f>
              <c:strCache>
                <c:ptCount val="1"/>
                <c:pt idx="0">
                  <c:v>16 villes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'empty-queue-data'!$A$77:$A$84</c:f>
              <c:numCache>
                <c:formatCode>General</c:formatCode>
                <c:ptCount val="8"/>
                <c:pt idx="0">
                  <c:v>32</c:v>
                </c:pt>
                <c:pt idx="1">
                  <c:v>64</c:v>
                </c:pt>
                <c:pt idx="2">
                  <c:v>96</c:v>
                </c:pt>
                <c:pt idx="3">
                  <c:v>128</c:v>
                </c:pt>
                <c:pt idx="4">
                  <c:v>160</c:v>
                </c:pt>
                <c:pt idx="5">
                  <c:v>192</c:v>
                </c:pt>
                <c:pt idx="6">
                  <c:v>224</c:v>
                </c:pt>
                <c:pt idx="7">
                  <c:v>256</c:v>
                </c:pt>
              </c:numCache>
            </c:numRef>
          </c:xVal>
          <c:yVal>
            <c:numRef>
              <c:f>'empty-queue-data'!$D$77:$D$84</c:f>
              <c:numCache>
                <c:formatCode>General</c:formatCode>
                <c:ptCount val="8"/>
                <c:pt idx="0">
                  <c:v>9169.1</c:v>
                </c:pt>
                <c:pt idx="1">
                  <c:v>5811.7</c:v>
                </c:pt>
                <c:pt idx="2">
                  <c:v>4992.3</c:v>
                </c:pt>
                <c:pt idx="3">
                  <c:v>4697.3999999999996</c:v>
                </c:pt>
                <c:pt idx="4">
                  <c:v>4575.5</c:v>
                </c:pt>
                <c:pt idx="5">
                  <c:v>4341.1000000000004</c:v>
                </c:pt>
                <c:pt idx="6">
                  <c:v>4203.2</c:v>
                </c:pt>
                <c:pt idx="7">
                  <c:v>4173.3999999999996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F89-DA4D-B2F3-096BE0DDF4E7}"/>
            </c:ext>
          </c:extLst>
        </c:ser>
        <c:ser>
          <c:idx val="3"/>
          <c:order val="3"/>
          <c:tx>
            <c:strRef>
              <c:f>'empty-queue-data'!$E$76</c:f>
              <c:strCache>
                <c:ptCount val="1"/>
                <c:pt idx="0">
                  <c:v>15 villes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'empty-queue-data'!$A$77:$A$84</c:f>
              <c:numCache>
                <c:formatCode>General</c:formatCode>
                <c:ptCount val="8"/>
                <c:pt idx="0">
                  <c:v>32</c:v>
                </c:pt>
                <c:pt idx="1">
                  <c:v>64</c:v>
                </c:pt>
                <c:pt idx="2">
                  <c:v>96</c:v>
                </c:pt>
                <c:pt idx="3">
                  <c:v>128</c:v>
                </c:pt>
                <c:pt idx="4">
                  <c:v>160</c:v>
                </c:pt>
                <c:pt idx="5">
                  <c:v>192</c:v>
                </c:pt>
                <c:pt idx="6">
                  <c:v>224</c:v>
                </c:pt>
                <c:pt idx="7">
                  <c:v>256</c:v>
                </c:pt>
              </c:numCache>
            </c:numRef>
          </c:xVal>
          <c:yVal>
            <c:numRef>
              <c:f>'empty-queue-data'!$E$77:$E$84</c:f>
              <c:numCache>
                <c:formatCode>General</c:formatCode>
                <c:ptCount val="8"/>
                <c:pt idx="0">
                  <c:v>3365.7</c:v>
                </c:pt>
                <c:pt idx="1">
                  <c:v>2896.7</c:v>
                </c:pt>
                <c:pt idx="2">
                  <c:v>2793.3</c:v>
                </c:pt>
                <c:pt idx="3">
                  <c:v>2782.1</c:v>
                </c:pt>
                <c:pt idx="4">
                  <c:v>2776.5</c:v>
                </c:pt>
                <c:pt idx="5">
                  <c:v>2791.7</c:v>
                </c:pt>
                <c:pt idx="6">
                  <c:v>2811.1</c:v>
                </c:pt>
                <c:pt idx="7">
                  <c:v>2795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F89-DA4D-B2F3-096BE0DDF4E7}"/>
            </c:ext>
          </c:extLst>
        </c:ser>
        <c:ser>
          <c:idx val="4"/>
          <c:order val="4"/>
          <c:tx>
            <c:strRef>
              <c:f>'empty-queue-data'!$F$76</c:f>
              <c:strCache>
                <c:ptCount val="1"/>
                <c:pt idx="0">
                  <c:v>14 villes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'empty-queue-data'!$A$77:$A$84</c:f>
              <c:numCache>
                <c:formatCode>General</c:formatCode>
                <c:ptCount val="8"/>
                <c:pt idx="0">
                  <c:v>32</c:v>
                </c:pt>
                <c:pt idx="1">
                  <c:v>64</c:v>
                </c:pt>
                <c:pt idx="2">
                  <c:v>96</c:v>
                </c:pt>
                <c:pt idx="3">
                  <c:v>128</c:v>
                </c:pt>
                <c:pt idx="4">
                  <c:v>160</c:v>
                </c:pt>
                <c:pt idx="5">
                  <c:v>192</c:v>
                </c:pt>
                <c:pt idx="6">
                  <c:v>224</c:v>
                </c:pt>
                <c:pt idx="7">
                  <c:v>256</c:v>
                </c:pt>
              </c:numCache>
            </c:numRef>
          </c:xVal>
          <c:yVal>
            <c:numRef>
              <c:f>'empty-queue-data'!$F$77:$F$84</c:f>
              <c:numCache>
                <c:formatCode>General</c:formatCode>
                <c:ptCount val="8"/>
                <c:pt idx="0">
                  <c:v>792.7</c:v>
                </c:pt>
                <c:pt idx="1">
                  <c:v>685.6</c:v>
                </c:pt>
                <c:pt idx="2">
                  <c:v>711.4</c:v>
                </c:pt>
                <c:pt idx="3">
                  <c:v>817.6</c:v>
                </c:pt>
                <c:pt idx="4">
                  <c:v>860</c:v>
                </c:pt>
                <c:pt idx="5">
                  <c:v>965.4</c:v>
                </c:pt>
                <c:pt idx="6">
                  <c:v>1017.7</c:v>
                </c:pt>
                <c:pt idx="7">
                  <c:v>1101.9000000000001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4F89-DA4D-B2F3-096BE0DDF4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58330768"/>
        <c:axId val="1327378080"/>
      </c:scatterChart>
      <c:valAx>
        <c:axId val="1258330768"/>
        <c:scaling>
          <c:orientation val="minMax"/>
          <c:max val="256"/>
          <c:min val="3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%">
                    <a:solidFill>
                      <a:schemeClr val="tx1">
                        <a:lumMod val="65%"/>
                        <a:lumOff val="35%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Nb Threads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%">
                  <a:solidFill>
                    <a:schemeClr val="tx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327378080"/>
        <c:crosses val="autoZero"/>
        <c:crossBetween val="midCat"/>
      </c:valAx>
      <c:valAx>
        <c:axId val="1327378080"/>
        <c:scaling>
          <c:orientation val="minMax"/>
          <c:max val="225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%">
                    <a:solidFill>
                      <a:schemeClr val="tx1">
                        <a:lumMod val="65%"/>
                        <a:lumOff val="35%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Temps [ms]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%">
                  <a:solidFill>
                    <a:schemeClr val="tx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5833076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'empty-queue-data'!$F$2:$F$10</c:f>
              <c:numCache>
                <c:formatCode>General</c:formatCode>
                <c:ptCount val="9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</c:numCache>
            </c:numRef>
          </c:xVal>
          <c:yVal>
            <c:numRef>
              <c:f>'empty-queue-data'!$G$2:$G$10</c:f>
              <c:numCache>
                <c:formatCode>General</c:formatCode>
                <c:ptCount val="9"/>
                <c:pt idx="0">
                  <c:v>1.5047999999999999</c:v>
                </c:pt>
                <c:pt idx="1">
                  <c:v>2.6855250000000002</c:v>
                </c:pt>
                <c:pt idx="2">
                  <c:v>2.7555624999999999</c:v>
                </c:pt>
                <c:pt idx="3">
                  <c:v>2.7350499999999998</c:v>
                </c:pt>
                <c:pt idx="4">
                  <c:v>2.8054374999999996</c:v>
                </c:pt>
                <c:pt idx="5">
                  <c:v>41.093600000000002</c:v>
                </c:pt>
                <c:pt idx="6">
                  <c:v>30.640462499999998</c:v>
                </c:pt>
                <c:pt idx="7">
                  <c:v>13.549912500000001</c:v>
                </c:pt>
                <c:pt idx="8">
                  <c:v>4.3822125000000005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57E-834F-AADA-4E5943207A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7958767"/>
        <c:axId val="1177960479"/>
      </c:scatterChart>
      <c:valAx>
        <c:axId val="1177958767"/>
        <c:scaling>
          <c:orientation val="minMax"/>
          <c:max val="18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177960479"/>
        <c:crosses val="autoZero"/>
        <c:crossBetween val="midCat"/>
      </c:valAx>
      <c:valAx>
        <c:axId val="1177960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177958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Variance</a:t>
            </a:r>
            <a:r>
              <a:rPr lang="fr-FR" baseline="0%"/>
              <a:t> Thread execution time </a:t>
            </a:r>
            <a:endParaRPr lang="fr-FR"/>
          </a:p>
        </c:rich>
      </c:tx>
      <c:layout>
        <c:manualLayout>
          <c:xMode val="edge"/>
          <c:yMode val="edge"/>
          <c:x val="0.22356766723332774"/>
          <c:y val="2.032520543242721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'empty-queue-data'!$G$20</c:f>
              <c:strCache>
                <c:ptCount val="1"/>
                <c:pt idx="0">
                  <c:v>192 Threads v1</c:v>
                </c:pt>
              </c:strCache>
            </c:strRef>
          </c:tx>
          <c:spPr>
            <a:ln w="19050" cap="rnd">
              <a:solidFill>
                <a:schemeClr val="accent6">
                  <a:lumMod val="60%"/>
                  <a:lumOff val="40%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'empty-queue-data'!$F$23:$F$29</c:f>
              <c:numCache>
                <c:formatCode>General</c:formatCode>
                <c:ptCount val="7"/>
                <c:pt idx="0">
                  <c:v>12</c:v>
                </c:pt>
                <c:pt idx="1">
                  <c:v>13</c:v>
                </c:pt>
                <c:pt idx="2">
                  <c:v>14</c:v>
                </c:pt>
                <c:pt idx="3">
                  <c:v>15</c:v>
                </c:pt>
                <c:pt idx="4">
                  <c:v>16</c:v>
                </c:pt>
                <c:pt idx="5">
                  <c:v>17</c:v>
                </c:pt>
                <c:pt idx="6">
                  <c:v>18</c:v>
                </c:pt>
              </c:numCache>
            </c:numRef>
          </c:xVal>
          <c:yVal>
            <c:numRef>
              <c:f>'empty-queue-data'!$G$23:$G$29</c:f>
              <c:numCache>
                <c:formatCode>General</c:formatCode>
                <c:ptCount val="7"/>
                <c:pt idx="0">
                  <c:v>3.9699</c:v>
                </c:pt>
                <c:pt idx="1">
                  <c:v>4.2548000000000004</c:v>
                </c:pt>
                <c:pt idx="2">
                  <c:v>4.0160999999999998</c:v>
                </c:pt>
                <c:pt idx="3">
                  <c:v>37.648699999999998</c:v>
                </c:pt>
                <c:pt idx="4">
                  <c:v>30.747699999999998</c:v>
                </c:pt>
                <c:pt idx="5">
                  <c:v>18.258600000000001</c:v>
                </c:pt>
                <c:pt idx="6">
                  <c:v>11.0329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F39-3047-ADF9-AD20D13F61DB}"/>
            </c:ext>
          </c:extLst>
        </c:ser>
        <c:ser>
          <c:idx val="1"/>
          <c:order val="1"/>
          <c:tx>
            <c:strRef>
              <c:f>'empty-queue-data'!$H$20</c:f>
              <c:strCache>
                <c:ptCount val="1"/>
                <c:pt idx="0">
                  <c:v>32 Threads v1</c:v>
                </c:pt>
              </c:strCache>
            </c:strRef>
          </c:tx>
          <c:spPr>
            <a:ln w="19050" cap="rnd">
              <a:solidFill>
                <a:schemeClr val="accent6">
                  <a:lumMod val="50%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'empty-queue-data'!$F$23:$F$29</c:f>
              <c:numCache>
                <c:formatCode>General</c:formatCode>
                <c:ptCount val="7"/>
                <c:pt idx="0">
                  <c:v>12</c:v>
                </c:pt>
                <c:pt idx="1">
                  <c:v>13</c:v>
                </c:pt>
                <c:pt idx="2">
                  <c:v>14</c:v>
                </c:pt>
                <c:pt idx="3">
                  <c:v>15</c:v>
                </c:pt>
                <c:pt idx="4">
                  <c:v>16</c:v>
                </c:pt>
                <c:pt idx="5">
                  <c:v>17</c:v>
                </c:pt>
                <c:pt idx="6">
                  <c:v>18</c:v>
                </c:pt>
              </c:numCache>
            </c:numRef>
          </c:xVal>
          <c:yVal>
            <c:numRef>
              <c:f>'empty-queue-data'!$H$23:$H$29</c:f>
              <c:numCache>
                <c:formatCode>General</c:formatCode>
                <c:ptCount val="7"/>
                <c:pt idx="0">
                  <c:v>0.30590000000000001</c:v>
                </c:pt>
                <c:pt idx="1">
                  <c:v>0.313</c:v>
                </c:pt>
                <c:pt idx="2">
                  <c:v>0.28210000000000002</c:v>
                </c:pt>
                <c:pt idx="3">
                  <c:v>49.517400000000002</c:v>
                </c:pt>
                <c:pt idx="4">
                  <c:v>23.312000000000001</c:v>
                </c:pt>
                <c:pt idx="5">
                  <c:v>2.5644</c:v>
                </c:pt>
                <c:pt idx="6">
                  <c:v>0.59199999999999997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F39-3047-ADF9-AD20D13F61DB}"/>
            </c:ext>
          </c:extLst>
        </c:ser>
        <c:ser>
          <c:idx val="2"/>
          <c:order val="2"/>
          <c:tx>
            <c:strRef>
              <c:f>'empty-queue-data'!$I$20</c:f>
              <c:strCache>
                <c:ptCount val="1"/>
                <c:pt idx="0">
                  <c:v>96 Threads v1</c:v>
                </c:pt>
              </c:strCache>
            </c:strRef>
          </c:tx>
          <c:spPr>
            <a:ln w="19050" cap="rnd">
              <a:solidFill>
                <a:schemeClr val="accent6">
                  <a:lumMod val="75%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'empty-queue-data'!$F$23:$F$29</c:f>
              <c:numCache>
                <c:formatCode>General</c:formatCode>
                <c:ptCount val="7"/>
                <c:pt idx="0">
                  <c:v>12</c:v>
                </c:pt>
                <c:pt idx="1">
                  <c:v>13</c:v>
                </c:pt>
                <c:pt idx="2">
                  <c:v>14</c:v>
                </c:pt>
                <c:pt idx="3">
                  <c:v>15</c:v>
                </c:pt>
                <c:pt idx="4">
                  <c:v>16</c:v>
                </c:pt>
                <c:pt idx="5">
                  <c:v>17</c:v>
                </c:pt>
                <c:pt idx="6">
                  <c:v>18</c:v>
                </c:pt>
              </c:numCache>
            </c:numRef>
          </c:xVal>
          <c:yVal>
            <c:numRef>
              <c:f>'empty-queue-data'!$I$23:$I$29</c:f>
              <c:numCache>
                <c:formatCode>General</c:formatCode>
                <c:ptCount val="7"/>
                <c:pt idx="0">
                  <c:v>1.1901999999999999</c:v>
                </c:pt>
                <c:pt idx="1">
                  <c:v>0.99819999999999998</c:v>
                </c:pt>
                <c:pt idx="2">
                  <c:v>1.1459999999999999</c:v>
                </c:pt>
                <c:pt idx="3">
                  <c:v>43.628799999999998</c:v>
                </c:pt>
                <c:pt idx="4">
                  <c:v>33.066699999999997</c:v>
                </c:pt>
                <c:pt idx="5">
                  <c:v>7.6848000000000001</c:v>
                </c:pt>
                <c:pt idx="6">
                  <c:v>2.2751000000000001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F39-3047-ADF9-AD20D13F61DB}"/>
            </c:ext>
          </c:extLst>
        </c:ser>
        <c:ser>
          <c:idx val="3"/>
          <c:order val="3"/>
          <c:tx>
            <c:strRef>
              <c:f>'empty-queue-data'!$J$20</c:f>
              <c:strCache>
                <c:ptCount val="1"/>
                <c:pt idx="0">
                  <c:v>192 Threads v2</c:v>
                </c:pt>
              </c:strCache>
            </c:strRef>
          </c:tx>
          <c:spPr>
            <a:ln w="19050" cap="rnd">
              <a:solidFill>
                <a:schemeClr val="tx2">
                  <a:lumMod val="25%"/>
                  <a:lumOff val="75%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'empty-queue-data'!$F$23:$F$29</c:f>
              <c:numCache>
                <c:formatCode>General</c:formatCode>
                <c:ptCount val="7"/>
                <c:pt idx="0">
                  <c:v>12</c:v>
                </c:pt>
                <c:pt idx="1">
                  <c:v>13</c:v>
                </c:pt>
                <c:pt idx="2">
                  <c:v>14</c:v>
                </c:pt>
                <c:pt idx="3">
                  <c:v>15</c:v>
                </c:pt>
                <c:pt idx="4">
                  <c:v>16</c:v>
                </c:pt>
                <c:pt idx="5">
                  <c:v>17</c:v>
                </c:pt>
                <c:pt idx="6">
                  <c:v>18</c:v>
                </c:pt>
              </c:numCache>
            </c:numRef>
          </c:xVal>
          <c:yVal>
            <c:numRef>
              <c:f>'empty-queue-data'!$J$23:$J$29</c:f>
              <c:numCache>
                <c:formatCode>General</c:formatCode>
                <c:ptCount val="7"/>
                <c:pt idx="0">
                  <c:v>4.3422999999999998</c:v>
                </c:pt>
                <c:pt idx="1">
                  <c:v>3.9620000000000002</c:v>
                </c:pt>
                <c:pt idx="2">
                  <c:v>3.8439000000000001</c:v>
                </c:pt>
                <c:pt idx="3">
                  <c:v>1.9975000000000001</c:v>
                </c:pt>
                <c:pt idx="4">
                  <c:v>1.9094</c:v>
                </c:pt>
                <c:pt idx="5">
                  <c:v>3.5203000000000002</c:v>
                </c:pt>
                <c:pt idx="6">
                  <c:v>3.6985000000000001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F39-3047-ADF9-AD20D13F61DB}"/>
            </c:ext>
          </c:extLst>
        </c:ser>
        <c:ser>
          <c:idx val="4"/>
          <c:order val="4"/>
          <c:tx>
            <c:strRef>
              <c:f>'empty-queue-data'!$K$20</c:f>
              <c:strCache>
                <c:ptCount val="1"/>
                <c:pt idx="0">
                  <c:v>32 Threads v2</c:v>
                </c:pt>
              </c:strCache>
            </c:strRef>
          </c:tx>
          <c:spPr>
            <a:ln w="19050" cap="rnd">
              <a:solidFill>
                <a:schemeClr val="tx2">
                  <a:lumMod val="75%"/>
                  <a:lumOff val="25%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'empty-queue-data'!$F$23:$F$29</c:f>
              <c:numCache>
                <c:formatCode>General</c:formatCode>
                <c:ptCount val="7"/>
                <c:pt idx="0">
                  <c:v>12</c:v>
                </c:pt>
                <c:pt idx="1">
                  <c:v>13</c:v>
                </c:pt>
                <c:pt idx="2">
                  <c:v>14</c:v>
                </c:pt>
                <c:pt idx="3">
                  <c:v>15</c:v>
                </c:pt>
                <c:pt idx="4">
                  <c:v>16</c:v>
                </c:pt>
                <c:pt idx="5">
                  <c:v>17</c:v>
                </c:pt>
                <c:pt idx="6">
                  <c:v>18</c:v>
                </c:pt>
              </c:numCache>
            </c:numRef>
          </c:xVal>
          <c:yVal>
            <c:numRef>
              <c:f>'empty-queue-data'!$K$23:$K$29</c:f>
              <c:numCache>
                <c:formatCode>General</c:formatCode>
                <c:ptCount val="7"/>
                <c:pt idx="0">
                  <c:v>0.30230000000000001</c:v>
                </c:pt>
                <c:pt idx="1">
                  <c:v>0.32100000000000001</c:v>
                </c:pt>
                <c:pt idx="2">
                  <c:v>0.3407</c:v>
                </c:pt>
                <c:pt idx="3">
                  <c:v>0.24840000000000001</c:v>
                </c:pt>
                <c:pt idx="4">
                  <c:v>0.248</c:v>
                </c:pt>
                <c:pt idx="5">
                  <c:v>0.3024</c:v>
                </c:pt>
                <c:pt idx="6">
                  <c:v>0.32519999999999999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F39-3047-ADF9-AD20D13F61DB}"/>
            </c:ext>
          </c:extLst>
        </c:ser>
        <c:ser>
          <c:idx val="5"/>
          <c:order val="5"/>
          <c:tx>
            <c:strRef>
              <c:f>'empty-queue-data'!$L$20</c:f>
              <c:strCache>
                <c:ptCount val="1"/>
                <c:pt idx="0">
                  <c:v>96 Threads v2</c:v>
                </c:pt>
              </c:strCache>
            </c:strRef>
          </c:tx>
          <c:spPr>
            <a:ln w="19050" cap="rnd">
              <a:solidFill>
                <a:schemeClr val="tx2">
                  <a:lumMod val="50%"/>
                  <a:lumOff val="50%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'empty-queue-data'!$F$23:$F$29</c:f>
              <c:numCache>
                <c:formatCode>General</c:formatCode>
                <c:ptCount val="7"/>
                <c:pt idx="0">
                  <c:v>12</c:v>
                </c:pt>
                <c:pt idx="1">
                  <c:v>13</c:v>
                </c:pt>
                <c:pt idx="2">
                  <c:v>14</c:v>
                </c:pt>
                <c:pt idx="3">
                  <c:v>15</c:v>
                </c:pt>
                <c:pt idx="4">
                  <c:v>16</c:v>
                </c:pt>
                <c:pt idx="5">
                  <c:v>17</c:v>
                </c:pt>
                <c:pt idx="6">
                  <c:v>18</c:v>
                </c:pt>
              </c:numCache>
            </c:numRef>
          </c:xVal>
          <c:yVal>
            <c:numRef>
              <c:f>'empty-queue-data'!$L$23:$L$29</c:f>
              <c:numCache>
                <c:formatCode>General</c:formatCode>
                <c:ptCount val="7"/>
                <c:pt idx="0">
                  <c:v>1.2487999999999999</c:v>
                </c:pt>
                <c:pt idx="1">
                  <c:v>1.2579</c:v>
                </c:pt>
                <c:pt idx="2">
                  <c:v>1.2782</c:v>
                </c:pt>
                <c:pt idx="3">
                  <c:v>0.79459999999999997</c:v>
                </c:pt>
                <c:pt idx="4">
                  <c:v>0.80759999999999998</c:v>
                </c:pt>
                <c:pt idx="5">
                  <c:v>1.179</c:v>
                </c:pt>
                <c:pt idx="6">
                  <c:v>1.1451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F39-3047-ADF9-AD20D13F61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5364655"/>
        <c:axId val="863567183"/>
      </c:scatterChart>
      <c:valAx>
        <c:axId val="1605364655"/>
        <c:scaling>
          <c:orientation val="minMax"/>
          <c:max val="18"/>
          <c:min val="1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%">
                    <a:solidFill>
                      <a:schemeClr val="tx1">
                        <a:lumMod val="65%"/>
                        <a:lumOff val="35%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Nombre de villes</a:t>
                </a:r>
              </a:p>
            </c:rich>
          </c:tx>
          <c:layout>
            <c:manualLayout>
              <c:xMode val="edge"/>
              <c:yMode val="edge"/>
              <c:x val="0.38351469442618502"/>
              <c:y val="0.9267295367148874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%">
                  <a:solidFill>
                    <a:schemeClr val="tx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63567183"/>
        <c:crosses val="autoZero"/>
        <c:crossBetween val="midCat"/>
        <c:majorUnit val="1"/>
        <c:minorUnit val="0.5"/>
      </c:valAx>
      <c:valAx>
        <c:axId val="863567183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%">
                    <a:solidFill>
                      <a:schemeClr val="tx1">
                        <a:lumMod val="65%"/>
                        <a:lumOff val="35%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Variance du temps d'exécution</a:t>
                </a:r>
                <a:r>
                  <a:rPr lang="fr-FR" baseline="0%"/>
                  <a:t> [ms]</a:t>
                </a:r>
                <a:endParaRPr lang="fr-F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%">
                  <a:solidFill>
                    <a:schemeClr val="tx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053646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 sz="1400" b="0" i="0" u="none" strike="noStrike" kern="1200" spc="0" baseline="0%">
                <a:solidFill>
                  <a:sysClr val="windowText" lastClr="000000">
                    <a:lumMod val="65%"/>
                    <a:lumOff val="35%"/>
                  </a:sysClr>
                </a:solidFill>
              </a:rPr>
              <a:t>Temps d'exécussion V2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Feuil1!$B$76</c:f>
              <c:strCache>
                <c:ptCount val="1"/>
                <c:pt idx="0">
                  <c:v>18 villes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Feuil1!$A$77:$A$84</c:f>
              <c:numCache>
                <c:formatCode>General</c:formatCode>
                <c:ptCount val="8"/>
                <c:pt idx="0">
                  <c:v>32</c:v>
                </c:pt>
                <c:pt idx="1">
                  <c:v>64</c:v>
                </c:pt>
                <c:pt idx="2">
                  <c:v>96</c:v>
                </c:pt>
                <c:pt idx="3">
                  <c:v>128</c:v>
                </c:pt>
                <c:pt idx="4">
                  <c:v>160</c:v>
                </c:pt>
                <c:pt idx="5">
                  <c:v>192</c:v>
                </c:pt>
                <c:pt idx="6">
                  <c:v>224</c:v>
                </c:pt>
                <c:pt idx="7">
                  <c:v>256</c:v>
                </c:pt>
              </c:numCache>
            </c:numRef>
          </c:xVal>
          <c:yVal>
            <c:numRef>
              <c:f>Feuil1!$B$77:$B$84</c:f>
              <c:numCache>
                <c:formatCode>General</c:formatCode>
                <c:ptCount val="8"/>
                <c:pt idx="0">
                  <c:v>227622.6</c:v>
                </c:pt>
                <c:pt idx="1">
                  <c:v>138852.9</c:v>
                </c:pt>
                <c:pt idx="2">
                  <c:v>114043.9</c:v>
                </c:pt>
                <c:pt idx="3">
                  <c:v>91447</c:v>
                </c:pt>
                <c:pt idx="4">
                  <c:v>85845.4</c:v>
                </c:pt>
                <c:pt idx="5">
                  <c:v>82812.2</c:v>
                </c:pt>
                <c:pt idx="6">
                  <c:v>93098.2</c:v>
                </c:pt>
                <c:pt idx="7">
                  <c:v>87560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DCE-F746-85B1-AF40BEE8E41D}"/>
            </c:ext>
          </c:extLst>
        </c:ser>
        <c:ser>
          <c:idx val="1"/>
          <c:order val="1"/>
          <c:tx>
            <c:strRef>
              <c:f>Feuil1!$C$76</c:f>
              <c:strCache>
                <c:ptCount val="1"/>
                <c:pt idx="0">
                  <c:v>17 villes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Feuil1!$A$77:$A$84</c:f>
              <c:numCache>
                <c:formatCode>General</c:formatCode>
                <c:ptCount val="8"/>
                <c:pt idx="0">
                  <c:v>32</c:v>
                </c:pt>
                <c:pt idx="1">
                  <c:v>64</c:v>
                </c:pt>
                <c:pt idx="2">
                  <c:v>96</c:v>
                </c:pt>
                <c:pt idx="3">
                  <c:v>128</c:v>
                </c:pt>
                <c:pt idx="4">
                  <c:v>160</c:v>
                </c:pt>
                <c:pt idx="5">
                  <c:v>192</c:v>
                </c:pt>
                <c:pt idx="6">
                  <c:v>224</c:v>
                </c:pt>
                <c:pt idx="7">
                  <c:v>256</c:v>
                </c:pt>
              </c:numCache>
            </c:numRef>
          </c:xVal>
          <c:yVal>
            <c:numRef>
              <c:f>Feuil1!$C$77:$C$84</c:f>
              <c:numCache>
                <c:formatCode>General</c:formatCode>
                <c:ptCount val="8"/>
                <c:pt idx="0">
                  <c:v>49581.4</c:v>
                </c:pt>
                <c:pt idx="1">
                  <c:v>26587.4</c:v>
                </c:pt>
                <c:pt idx="2">
                  <c:v>22472.1</c:v>
                </c:pt>
                <c:pt idx="3">
                  <c:v>16816.099999999999</c:v>
                </c:pt>
                <c:pt idx="4">
                  <c:v>18198.900000000001</c:v>
                </c:pt>
                <c:pt idx="5">
                  <c:v>20725.7</c:v>
                </c:pt>
                <c:pt idx="6">
                  <c:v>19718.900000000001</c:v>
                </c:pt>
                <c:pt idx="7">
                  <c:v>19737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DCE-F746-85B1-AF40BEE8E41D}"/>
            </c:ext>
          </c:extLst>
        </c:ser>
        <c:ser>
          <c:idx val="2"/>
          <c:order val="2"/>
          <c:tx>
            <c:strRef>
              <c:f>Feuil1!$D$76</c:f>
              <c:strCache>
                <c:ptCount val="1"/>
                <c:pt idx="0">
                  <c:v>16 villes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Feuil1!$A$77:$A$84</c:f>
              <c:numCache>
                <c:formatCode>General</c:formatCode>
                <c:ptCount val="8"/>
                <c:pt idx="0">
                  <c:v>32</c:v>
                </c:pt>
                <c:pt idx="1">
                  <c:v>64</c:v>
                </c:pt>
                <c:pt idx="2">
                  <c:v>96</c:v>
                </c:pt>
                <c:pt idx="3">
                  <c:v>128</c:v>
                </c:pt>
                <c:pt idx="4">
                  <c:v>160</c:v>
                </c:pt>
                <c:pt idx="5">
                  <c:v>192</c:v>
                </c:pt>
                <c:pt idx="6">
                  <c:v>224</c:v>
                </c:pt>
                <c:pt idx="7">
                  <c:v>256</c:v>
                </c:pt>
              </c:numCache>
            </c:numRef>
          </c:xVal>
          <c:yVal>
            <c:numRef>
              <c:f>Feuil1!$D$77:$D$84</c:f>
              <c:numCache>
                <c:formatCode>General</c:formatCode>
                <c:ptCount val="8"/>
                <c:pt idx="0">
                  <c:v>9728.9</c:v>
                </c:pt>
                <c:pt idx="1">
                  <c:v>6550.4</c:v>
                </c:pt>
                <c:pt idx="2">
                  <c:v>6308.6</c:v>
                </c:pt>
                <c:pt idx="3">
                  <c:v>6090.9</c:v>
                </c:pt>
                <c:pt idx="4">
                  <c:v>7188.6</c:v>
                </c:pt>
                <c:pt idx="5">
                  <c:v>7305.3</c:v>
                </c:pt>
                <c:pt idx="6">
                  <c:v>8069.8</c:v>
                </c:pt>
                <c:pt idx="7">
                  <c:v>8456.7999999999993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DCE-F746-85B1-AF40BEE8E41D}"/>
            </c:ext>
          </c:extLst>
        </c:ser>
        <c:ser>
          <c:idx val="3"/>
          <c:order val="3"/>
          <c:tx>
            <c:strRef>
              <c:f>Feuil1!$E$76</c:f>
              <c:strCache>
                <c:ptCount val="1"/>
                <c:pt idx="0">
                  <c:v>15 villes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Feuil1!$A$77:$A$84</c:f>
              <c:numCache>
                <c:formatCode>General</c:formatCode>
                <c:ptCount val="8"/>
                <c:pt idx="0">
                  <c:v>32</c:v>
                </c:pt>
                <c:pt idx="1">
                  <c:v>64</c:v>
                </c:pt>
                <c:pt idx="2">
                  <c:v>96</c:v>
                </c:pt>
                <c:pt idx="3">
                  <c:v>128</c:v>
                </c:pt>
                <c:pt idx="4">
                  <c:v>160</c:v>
                </c:pt>
                <c:pt idx="5">
                  <c:v>192</c:v>
                </c:pt>
                <c:pt idx="6">
                  <c:v>224</c:v>
                </c:pt>
                <c:pt idx="7">
                  <c:v>256</c:v>
                </c:pt>
              </c:numCache>
            </c:numRef>
          </c:xVal>
          <c:yVal>
            <c:numRef>
              <c:f>Feuil1!$E$77:$E$84</c:f>
              <c:numCache>
                <c:formatCode>General</c:formatCode>
                <c:ptCount val="8"/>
                <c:pt idx="0">
                  <c:v>3725.9</c:v>
                </c:pt>
                <c:pt idx="1">
                  <c:v>3213.2</c:v>
                </c:pt>
                <c:pt idx="2">
                  <c:v>3936.8</c:v>
                </c:pt>
                <c:pt idx="3">
                  <c:v>4229.1000000000004</c:v>
                </c:pt>
                <c:pt idx="4">
                  <c:v>4490.8999999999996</c:v>
                </c:pt>
                <c:pt idx="5">
                  <c:v>6050.7</c:v>
                </c:pt>
                <c:pt idx="6">
                  <c:v>6476.5</c:v>
                </c:pt>
                <c:pt idx="7">
                  <c:v>7488.5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DCE-F746-85B1-AF40BEE8E41D}"/>
            </c:ext>
          </c:extLst>
        </c:ser>
        <c:ser>
          <c:idx val="4"/>
          <c:order val="4"/>
          <c:tx>
            <c:strRef>
              <c:f>Feuil1!$F$76</c:f>
              <c:strCache>
                <c:ptCount val="1"/>
                <c:pt idx="0">
                  <c:v>14 villes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Feuil1!$A$77:$A$84</c:f>
              <c:numCache>
                <c:formatCode>General</c:formatCode>
                <c:ptCount val="8"/>
                <c:pt idx="0">
                  <c:v>32</c:v>
                </c:pt>
                <c:pt idx="1">
                  <c:v>64</c:v>
                </c:pt>
                <c:pt idx="2">
                  <c:v>96</c:v>
                </c:pt>
                <c:pt idx="3">
                  <c:v>128</c:v>
                </c:pt>
                <c:pt idx="4">
                  <c:v>160</c:v>
                </c:pt>
                <c:pt idx="5">
                  <c:v>192</c:v>
                </c:pt>
                <c:pt idx="6">
                  <c:v>224</c:v>
                </c:pt>
                <c:pt idx="7">
                  <c:v>256</c:v>
                </c:pt>
              </c:numCache>
            </c:numRef>
          </c:xVal>
          <c:yVal>
            <c:numRef>
              <c:f>Feuil1!$F$77:$F$84</c:f>
              <c:numCache>
                <c:formatCode>General</c:formatCode>
                <c:ptCount val="8"/>
                <c:pt idx="0">
                  <c:v>884.8</c:v>
                </c:pt>
                <c:pt idx="1">
                  <c:v>743.1</c:v>
                </c:pt>
                <c:pt idx="2">
                  <c:v>760</c:v>
                </c:pt>
                <c:pt idx="3">
                  <c:v>846.8</c:v>
                </c:pt>
                <c:pt idx="4">
                  <c:v>888.7</c:v>
                </c:pt>
                <c:pt idx="5">
                  <c:v>988.5</c:v>
                </c:pt>
                <c:pt idx="6">
                  <c:v>1012.1</c:v>
                </c:pt>
                <c:pt idx="7">
                  <c:v>1078.8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DCE-F746-85B1-AF40BEE8E4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3334015"/>
        <c:axId val="510930208"/>
      </c:scatterChart>
      <c:valAx>
        <c:axId val="1463334015"/>
        <c:scaling>
          <c:orientation val="minMax"/>
          <c:max val="256"/>
          <c:min val="3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%">
                    <a:solidFill>
                      <a:schemeClr val="tx1">
                        <a:lumMod val="65%"/>
                        <a:lumOff val="35%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 sz="1000" b="0" i="0" u="none" strike="noStrike" kern="1200" baseline="0%">
                    <a:solidFill>
                      <a:sysClr val="windowText" lastClr="000000">
                        <a:lumMod val="65%"/>
                        <a:lumOff val="35%"/>
                      </a:sysClr>
                    </a:solidFill>
                  </a:rPr>
                  <a:t>Nb Threads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%">
                  <a:solidFill>
                    <a:schemeClr val="tx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10930208"/>
        <c:crosses val="autoZero"/>
        <c:crossBetween val="midCat"/>
      </c:valAx>
      <c:valAx>
        <c:axId val="510930208"/>
        <c:scaling>
          <c:orientation val="minMax"/>
          <c:max val="230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%">
                    <a:solidFill>
                      <a:schemeClr val="tx1">
                        <a:lumMod val="65%"/>
                        <a:lumOff val="35%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 sz="1000" b="0" i="0" u="none" strike="noStrike" kern="1200" baseline="0%">
                    <a:solidFill>
                      <a:sysClr val="windowText" lastClr="000000">
                        <a:lumMod val="65%"/>
                        <a:lumOff val="35%"/>
                      </a:sysClr>
                    </a:solidFill>
                  </a:rPr>
                  <a:t>Temps [ms]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%">
                  <a:solidFill>
                    <a:schemeClr val="tx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46333401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Speedup Version 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'empty-queue-data'!$B$89</c:f>
              <c:strCache>
                <c:ptCount val="1"/>
                <c:pt idx="0">
                  <c:v>18 villes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'empty-queue-data'!$A$90:$A$97</c:f>
              <c:numCache>
                <c:formatCode>General</c:formatCode>
                <c:ptCount val="8"/>
                <c:pt idx="0">
                  <c:v>32</c:v>
                </c:pt>
                <c:pt idx="1">
                  <c:v>64</c:v>
                </c:pt>
                <c:pt idx="2">
                  <c:v>96</c:v>
                </c:pt>
                <c:pt idx="3">
                  <c:v>128</c:v>
                </c:pt>
                <c:pt idx="4">
                  <c:v>160</c:v>
                </c:pt>
                <c:pt idx="5">
                  <c:v>192</c:v>
                </c:pt>
                <c:pt idx="6">
                  <c:v>224</c:v>
                </c:pt>
                <c:pt idx="7">
                  <c:v>256</c:v>
                </c:pt>
              </c:numCache>
            </c:numRef>
          </c:xVal>
          <c:yVal>
            <c:numRef>
              <c:f>'empty-queue-data'!$B$90:$B$97</c:f>
              <c:numCache>
                <c:formatCode>General</c:formatCode>
                <c:ptCount val="8"/>
                <c:pt idx="0">
                  <c:v>22.853225161400903</c:v>
                </c:pt>
                <c:pt idx="1">
                  <c:v>44.972643141177223</c:v>
                </c:pt>
                <c:pt idx="2">
                  <c:v>46.442547317989337</c:v>
                </c:pt>
                <c:pt idx="3">
                  <c:v>64.046400336115511</c:v>
                </c:pt>
                <c:pt idx="4">
                  <c:v>63.660288330177913</c:v>
                </c:pt>
                <c:pt idx="5">
                  <c:v>63.575377510591657</c:v>
                </c:pt>
                <c:pt idx="6">
                  <c:v>67.13707376350294</c:v>
                </c:pt>
                <c:pt idx="7">
                  <c:v>64.69560716827327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E47-5D44-B78C-0A56DB04A7FB}"/>
            </c:ext>
          </c:extLst>
        </c:ser>
        <c:ser>
          <c:idx val="1"/>
          <c:order val="1"/>
          <c:tx>
            <c:strRef>
              <c:f>'empty-queue-data'!$C$89</c:f>
              <c:strCache>
                <c:ptCount val="1"/>
                <c:pt idx="0">
                  <c:v>17 villes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'empty-queue-data'!$A$90:$A$97</c:f>
              <c:numCache>
                <c:formatCode>General</c:formatCode>
                <c:ptCount val="8"/>
                <c:pt idx="0">
                  <c:v>32</c:v>
                </c:pt>
                <c:pt idx="1">
                  <c:v>64</c:v>
                </c:pt>
                <c:pt idx="2">
                  <c:v>96</c:v>
                </c:pt>
                <c:pt idx="3">
                  <c:v>128</c:v>
                </c:pt>
                <c:pt idx="4">
                  <c:v>160</c:v>
                </c:pt>
                <c:pt idx="5">
                  <c:v>192</c:v>
                </c:pt>
                <c:pt idx="6">
                  <c:v>224</c:v>
                </c:pt>
                <c:pt idx="7">
                  <c:v>256</c:v>
                </c:pt>
              </c:numCache>
            </c:numRef>
          </c:xVal>
          <c:yVal>
            <c:numRef>
              <c:f>'empty-queue-data'!$C$90:$C$97</c:f>
              <c:numCache>
                <c:formatCode>General</c:formatCode>
                <c:ptCount val="8"/>
                <c:pt idx="0">
                  <c:v>11.116489227427158</c:v>
                </c:pt>
                <c:pt idx="1">
                  <c:v>22.622301819210104</c:v>
                </c:pt>
                <c:pt idx="2">
                  <c:v>26.604294376517274</c:v>
                </c:pt>
                <c:pt idx="3">
                  <c:v>31.264858949891547</c:v>
                </c:pt>
                <c:pt idx="4">
                  <c:v>28.951765152931667</c:v>
                </c:pt>
                <c:pt idx="5">
                  <c:v>29.834418974690468</c:v>
                </c:pt>
                <c:pt idx="6">
                  <c:v>29.389434498297863</c:v>
                </c:pt>
                <c:pt idx="7">
                  <c:v>30.766666880324077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E47-5D44-B78C-0A56DB04A7FB}"/>
            </c:ext>
          </c:extLst>
        </c:ser>
        <c:ser>
          <c:idx val="2"/>
          <c:order val="2"/>
          <c:tx>
            <c:strRef>
              <c:f>'empty-queue-data'!$D$89</c:f>
              <c:strCache>
                <c:ptCount val="1"/>
                <c:pt idx="0">
                  <c:v>16 villes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'empty-queue-data'!$A$90:$A$97</c:f>
              <c:numCache>
                <c:formatCode>General</c:formatCode>
                <c:ptCount val="8"/>
                <c:pt idx="0">
                  <c:v>32</c:v>
                </c:pt>
                <c:pt idx="1">
                  <c:v>64</c:v>
                </c:pt>
                <c:pt idx="2">
                  <c:v>96</c:v>
                </c:pt>
                <c:pt idx="3">
                  <c:v>128</c:v>
                </c:pt>
                <c:pt idx="4">
                  <c:v>160</c:v>
                </c:pt>
                <c:pt idx="5">
                  <c:v>192</c:v>
                </c:pt>
                <c:pt idx="6">
                  <c:v>224</c:v>
                </c:pt>
                <c:pt idx="7">
                  <c:v>256</c:v>
                </c:pt>
              </c:numCache>
            </c:numRef>
          </c:xVal>
          <c:yVal>
            <c:numRef>
              <c:f>'empty-queue-data'!$D$90:$D$97</c:f>
              <c:numCache>
                <c:formatCode>General</c:formatCode>
                <c:ptCount val="8"/>
                <c:pt idx="0">
                  <c:v>52.34973988722993</c:v>
                </c:pt>
                <c:pt idx="1">
                  <c:v>82.592012664108609</c:v>
                </c:pt>
                <c:pt idx="2">
                  <c:v>96.148068024758118</c:v>
                </c:pt>
                <c:pt idx="3">
                  <c:v>102.18418699706221</c:v>
                </c:pt>
                <c:pt idx="4">
                  <c:v>104.90656758824173</c:v>
                </c:pt>
                <c:pt idx="5">
                  <c:v>110.57105341964018</c:v>
                </c:pt>
                <c:pt idx="6">
                  <c:v>114.19870574800153</c:v>
                </c:pt>
                <c:pt idx="7">
                  <c:v>115.01413715435856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E47-5D44-B78C-0A56DB04A7FB}"/>
            </c:ext>
          </c:extLst>
        </c:ser>
        <c:ser>
          <c:idx val="3"/>
          <c:order val="3"/>
          <c:tx>
            <c:strRef>
              <c:f>'empty-queue-data'!$E$89</c:f>
              <c:strCache>
                <c:ptCount val="1"/>
                <c:pt idx="0">
                  <c:v>15 villes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'empty-queue-data'!$A$90:$A$97</c:f>
              <c:numCache>
                <c:formatCode>General</c:formatCode>
                <c:ptCount val="8"/>
                <c:pt idx="0">
                  <c:v>32</c:v>
                </c:pt>
                <c:pt idx="1">
                  <c:v>64</c:v>
                </c:pt>
                <c:pt idx="2">
                  <c:v>96</c:v>
                </c:pt>
                <c:pt idx="3">
                  <c:v>128</c:v>
                </c:pt>
                <c:pt idx="4">
                  <c:v>160</c:v>
                </c:pt>
                <c:pt idx="5">
                  <c:v>192</c:v>
                </c:pt>
                <c:pt idx="6">
                  <c:v>224</c:v>
                </c:pt>
                <c:pt idx="7">
                  <c:v>256</c:v>
                </c:pt>
              </c:numCache>
            </c:numRef>
          </c:xVal>
          <c:yVal>
            <c:numRef>
              <c:f>'empty-queue-data'!$E$90:$E$97</c:f>
              <c:numCache>
                <c:formatCode>General</c:formatCode>
                <c:ptCount val="8"/>
                <c:pt idx="0">
                  <c:v>0.2971150132216181</c:v>
                </c:pt>
                <c:pt idx="1">
                  <c:v>0.34522042324023894</c:v>
                </c:pt>
                <c:pt idx="2">
                  <c:v>0.35799949880070164</c:v>
                </c:pt>
                <c:pt idx="3">
                  <c:v>0.35944071025484348</c:v>
                </c:pt>
                <c:pt idx="4">
                  <c:v>0.36016567621105711</c:v>
                </c:pt>
                <c:pt idx="5">
                  <c:v>0.3582046781530967</c:v>
                </c:pt>
                <c:pt idx="6">
                  <c:v>0.35573263135427413</c:v>
                </c:pt>
                <c:pt idx="7">
                  <c:v>0.35778175313059035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E47-5D44-B78C-0A56DB04A7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7431375"/>
        <c:axId val="124292064"/>
      </c:scatterChart>
      <c:valAx>
        <c:axId val="477431375"/>
        <c:scaling>
          <c:orientation val="minMax"/>
          <c:max val="256"/>
          <c:min val="3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%">
                    <a:solidFill>
                      <a:schemeClr val="tx1">
                        <a:lumMod val="65%"/>
                        <a:lumOff val="35%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Nombres</a:t>
                </a:r>
                <a:r>
                  <a:rPr lang="fr-FR" baseline="0%"/>
                  <a:t> de threads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%">
                  <a:solidFill>
                    <a:schemeClr val="tx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4292064"/>
        <c:crosses val="autoZero"/>
        <c:crossBetween val="midCat"/>
      </c:valAx>
      <c:valAx>
        <c:axId val="124292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%">
                    <a:solidFill>
                      <a:schemeClr val="tx1">
                        <a:lumMod val="65%"/>
                        <a:lumOff val="35%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Speedup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%">
                  <a:solidFill>
                    <a:schemeClr val="tx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774313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Efficience Version 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'empty-queue-data'!$B$89</c:f>
              <c:strCache>
                <c:ptCount val="1"/>
                <c:pt idx="0">
                  <c:v>18 villes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'empty-queue-data'!$A$100:$A$107</c:f>
              <c:numCache>
                <c:formatCode>General</c:formatCode>
                <c:ptCount val="8"/>
                <c:pt idx="0">
                  <c:v>32</c:v>
                </c:pt>
                <c:pt idx="1">
                  <c:v>64</c:v>
                </c:pt>
                <c:pt idx="2">
                  <c:v>96</c:v>
                </c:pt>
                <c:pt idx="3">
                  <c:v>128</c:v>
                </c:pt>
                <c:pt idx="4">
                  <c:v>160</c:v>
                </c:pt>
                <c:pt idx="5">
                  <c:v>192</c:v>
                </c:pt>
                <c:pt idx="6">
                  <c:v>224</c:v>
                </c:pt>
                <c:pt idx="7">
                  <c:v>256</c:v>
                </c:pt>
              </c:numCache>
            </c:numRef>
          </c:xVal>
          <c:yVal>
            <c:numRef>
              <c:f>'empty-queue-data'!$B$100:$B$107</c:f>
              <c:numCache>
                <c:formatCode>General</c:formatCode>
                <c:ptCount val="8"/>
                <c:pt idx="0">
                  <c:v>0.71416328629377823</c:v>
                </c:pt>
                <c:pt idx="1">
                  <c:v>0.7026975490808941</c:v>
                </c:pt>
                <c:pt idx="2">
                  <c:v>0.48377653456238895</c:v>
                </c:pt>
                <c:pt idx="3">
                  <c:v>0.50036250262590243</c:v>
                </c:pt>
                <c:pt idx="4">
                  <c:v>0.39787680206361198</c:v>
                </c:pt>
                <c:pt idx="5">
                  <c:v>0.3311217578676649</c:v>
                </c:pt>
                <c:pt idx="6">
                  <c:v>0.29971907930135239</c:v>
                </c:pt>
                <c:pt idx="7">
                  <c:v>0.25271721550106746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B99-184C-B51A-94657E8984CC}"/>
            </c:ext>
          </c:extLst>
        </c:ser>
        <c:ser>
          <c:idx val="1"/>
          <c:order val="1"/>
          <c:tx>
            <c:strRef>
              <c:f>'empty-queue-data'!$C$89</c:f>
              <c:strCache>
                <c:ptCount val="1"/>
                <c:pt idx="0">
                  <c:v>17 villes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'empty-queue-data'!$A$100:$A$107</c:f>
              <c:numCache>
                <c:formatCode>General</c:formatCode>
                <c:ptCount val="8"/>
                <c:pt idx="0">
                  <c:v>32</c:v>
                </c:pt>
                <c:pt idx="1">
                  <c:v>64</c:v>
                </c:pt>
                <c:pt idx="2">
                  <c:v>96</c:v>
                </c:pt>
                <c:pt idx="3">
                  <c:v>128</c:v>
                </c:pt>
                <c:pt idx="4">
                  <c:v>160</c:v>
                </c:pt>
                <c:pt idx="5">
                  <c:v>192</c:v>
                </c:pt>
                <c:pt idx="6">
                  <c:v>224</c:v>
                </c:pt>
                <c:pt idx="7">
                  <c:v>256</c:v>
                </c:pt>
              </c:numCache>
            </c:numRef>
          </c:xVal>
          <c:yVal>
            <c:numRef>
              <c:f>'empty-queue-data'!$C$100:$C$107</c:f>
              <c:numCache>
                <c:formatCode>General</c:formatCode>
                <c:ptCount val="8"/>
                <c:pt idx="0">
                  <c:v>0.34739028835709868</c:v>
                </c:pt>
                <c:pt idx="1">
                  <c:v>0.35347346592515788</c:v>
                </c:pt>
                <c:pt idx="2">
                  <c:v>0.27712806642205495</c:v>
                </c:pt>
                <c:pt idx="3">
                  <c:v>0.24425671054602771</c:v>
                </c:pt>
                <c:pt idx="4">
                  <c:v>0.18094853220582291</c:v>
                </c:pt>
                <c:pt idx="5">
                  <c:v>0.15538759882651285</c:v>
                </c:pt>
                <c:pt idx="6">
                  <c:v>0.13120283258168688</c:v>
                </c:pt>
                <c:pt idx="7">
                  <c:v>0.12018229250126593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B99-184C-B51A-94657E8984CC}"/>
            </c:ext>
          </c:extLst>
        </c:ser>
        <c:ser>
          <c:idx val="2"/>
          <c:order val="2"/>
          <c:tx>
            <c:strRef>
              <c:f>'empty-queue-data'!$D$89</c:f>
              <c:strCache>
                <c:ptCount val="1"/>
                <c:pt idx="0">
                  <c:v>16 villes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'empty-queue-data'!$A$100:$A$107</c:f>
              <c:numCache>
                <c:formatCode>General</c:formatCode>
                <c:ptCount val="8"/>
                <c:pt idx="0">
                  <c:v>32</c:v>
                </c:pt>
                <c:pt idx="1">
                  <c:v>64</c:v>
                </c:pt>
                <c:pt idx="2">
                  <c:v>96</c:v>
                </c:pt>
                <c:pt idx="3">
                  <c:v>128</c:v>
                </c:pt>
                <c:pt idx="4">
                  <c:v>160</c:v>
                </c:pt>
                <c:pt idx="5">
                  <c:v>192</c:v>
                </c:pt>
                <c:pt idx="6">
                  <c:v>224</c:v>
                </c:pt>
                <c:pt idx="7">
                  <c:v>256</c:v>
                </c:pt>
              </c:numCache>
            </c:numRef>
          </c:xVal>
          <c:yVal>
            <c:numRef>
              <c:f>'empty-queue-data'!$D$100:$D$107</c:f>
              <c:numCache>
                <c:formatCode>General</c:formatCode>
                <c:ptCount val="8"/>
                <c:pt idx="0">
                  <c:v>1.6359293714759353</c:v>
                </c:pt>
                <c:pt idx="1">
                  <c:v>1.290500197876697</c:v>
                </c:pt>
                <c:pt idx="2">
                  <c:v>1.0015423752578971</c:v>
                </c:pt>
                <c:pt idx="3">
                  <c:v>0.79831396091454854</c:v>
                </c:pt>
                <c:pt idx="4">
                  <c:v>0.6556660474265108</c:v>
                </c:pt>
                <c:pt idx="5">
                  <c:v>0.57589090322729264</c:v>
                </c:pt>
                <c:pt idx="6">
                  <c:v>0.5098156506607211</c:v>
                </c:pt>
                <c:pt idx="7">
                  <c:v>0.44927397325921314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B99-184C-B51A-94657E8984CC}"/>
            </c:ext>
          </c:extLst>
        </c:ser>
        <c:ser>
          <c:idx val="3"/>
          <c:order val="3"/>
          <c:tx>
            <c:strRef>
              <c:f>'empty-queue-data'!$E$89</c:f>
              <c:strCache>
                <c:ptCount val="1"/>
                <c:pt idx="0">
                  <c:v>15 villes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'empty-queue-data'!$A$100:$A$107</c:f>
              <c:numCache>
                <c:formatCode>General</c:formatCode>
                <c:ptCount val="8"/>
                <c:pt idx="0">
                  <c:v>32</c:v>
                </c:pt>
                <c:pt idx="1">
                  <c:v>64</c:v>
                </c:pt>
                <c:pt idx="2">
                  <c:v>96</c:v>
                </c:pt>
                <c:pt idx="3">
                  <c:v>128</c:v>
                </c:pt>
                <c:pt idx="4">
                  <c:v>160</c:v>
                </c:pt>
                <c:pt idx="5">
                  <c:v>192</c:v>
                </c:pt>
                <c:pt idx="6">
                  <c:v>224</c:v>
                </c:pt>
                <c:pt idx="7">
                  <c:v>256</c:v>
                </c:pt>
              </c:numCache>
            </c:numRef>
          </c:xVal>
          <c:yVal>
            <c:numRef>
              <c:f>'empty-queue-data'!$E$100:$E$107</c:f>
              <c:numCache>
                <c:formatCode>General</c:formatCode>
                <c:ptCount val="8"/>
                <c:pt idx="0">
                  <c:v>9.2848441631755655E-3</c:v>
                </c:pt>
                <c:pt idx="1">
                  <c:v>5.3940691131287334E-3</c:v>
                </c:pt>
                <c:pt idx="2">
                  <c:v>3.7291614458406421E-3</c:v>
                </c:pt>
                <c:pt idx="3">
                  <c:v>2.8081305488659647E-3</c:v>
                </c:pt>
                <c:pt idx="4">
                  <c:v>2.2510354763191067E-3</c:v>
                </c:pt>
                <c:pt idx="5">
                  <c:v>1.8656493653807121E-3</c:v>
                </c:pt>
                <c:pt idx="6">
                  <c:v>1.5880921042601523E-3</c:v>
                </c:pt>
                <c:pt idx="7">
                  <c:v>1.3975849731663686E-3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B99-184C-B51A-94657E8984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7431375"/>
        <c:axId val="124292064"/>
      </c:scatterChart>
      <c:valAx>
        <c:axId val="477431375"/>
        <c:scaling>
          <c:orientation val="minMax"/>
          <c:max val="256"/>
          <c:min val="3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%">
                    <a:solidFill>
                      <a:schemeClr val="tx1">
                        <a:lumMod val="65%"/>
                        <a:lumOff val="35%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Nombres</a:t>
                </a:r>
                <a:r>
                  <a:rPr lang="fr-FR" baseline="0%"/>
                  <a:t> de threads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%">
                  <a:solidFill>
                    <a:schemeClr val="tx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4292064"/>
        <c:crosses val="autoZero"/>
        <c:crossBetween val="midCat"/>
      </c:valAx>
      <c:valAx>
        <c:axId val="124292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%">
                    <a:solidFill>
                      <a:schemeClr val="tx1">
                        <a:lumMod val="65%"/>
                        <a:lumOff val="35%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Speedup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%">
                  <a:solidFill>
                    <a:schemeClr val="tx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774313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Speedup Version 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Feuil1!$B$89</c:f>
              <c:strCache>
                <c:ptCount val="1"/>
                <c:pt idx="0">
                  <c:v>18 villes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Feuil1!$A$90:$A$97</c:f>
              <c:numCache>
                <c:formatCode>General</c:formatCode>
                <c:ptCount val="8"/>
                <c:pt idx="0">
                  <c:v>32</c:v>
                </c:pt>
                <c:pt idx="1">
                  <c:v>64</c:v>
                </c:pt>
                <c:pt idx="2">
                  <c:v>96</c:v>
                </c:pt>
                <c:pt idx="3">
                  <c:v>128</c:v>
                </c:pt>
                <c:pt idx="4">
                  <c:v>160</c:v>
                </c:pt>
                <c:pt idx="5">
                  <c:v>192</c:v>
                </c:pt>
                <c:pt idx="6">
                  <c:v>224</c:v>
                </c:pt>
                <c:pt idx="7">
                  <c:v>256</c:v>
                </c:pt>
              </c:numCache>
            </c:numRef>
          </c:xVal>
          <c:yVal>
            <c:numRef>
              <c:f>Feuil1!$B$90:$B$97</c:f>
              <c:numCache>
                <c:formatCode>General</c:formatCode>
                <c:ptCount val="8"/>
                <c:pt idx="0">
                  <c:v>21.966184377122481</c:v>
                </c:pt>
                <c:pt idx="1">
                  <c:v>36.009330737780772</c:v>
                </c:pt>
                <c:pt idx="2">
                  <c:v>43.84276581211271</c:v>
                </c:pt>
                <c:pt idx="3">
                  <c:v>54.676479272146707</c:v>
                </c:pt>
                <c:pt idx="4">
                  <c:v>58.24423906231435</c:v>
                </c:pt>
                <c:pt idx="5">
                  <c:v>60.377577216883502</c:v>
                </c:pt>
                <c:pt idx="6">
                  <c:v>53.706731172031255</c:v>
                </c:pt>
                <c:pt idx="7">
                  <c:v>57.103700319780721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43D-5747-8F12-9ACC4A84B5D8}"/>
            </c:ext>
          </c:extLst>
        </c:ser>
        <c:ser>
          <c:idx val="1"/>
          <c:order val="1"/>
          <c:tx>
            <c:strRef>
              <c:f>Feuil1!$C$89</c:f>
              <c:strCache>
                <c:ptCount val="1"/>
                <c:pt idx="0">
                  <c:v>17 villes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Feuil1!$A$90:$A$97</c:f>
              <c:numCache>
                <c:formatCode>General</c:formatCode>
                <c:ptCount val="8"/>
                <c:pt idx="0">
                  <c:v>32</c:v>
                </c:pt>
                <c:pt idx="1">
                  <c:v>64</c:v>
                </c:pt>
                <c:pt idx="2">
                  <c:v>96</c:v>
                </c:pt>
                <c:pt idx="3">
                  <c:v>128</c:v>
                </c:pt>
                <c:pt idx="4">
                  <c:v>160</c:v>
                </c:pt>
                <c:pt idx="5">
                  <c:v>192</c:v>
                </c:pt>
                <c:pt idx="6">
                  <c:v>224</c:v>
                </c:pt>
                <c:pt idx="7">
                  <c:v>256</c:v>
                </c:pt>
              </c:numCache>
            </c:numRef>
          </c:xVal>
          <c:yVal>
            <c:numRef>
              <c:f>Feuil1!$C$90:$C$97</c:f>
              <c:numCache>
                <c:formatCode>General</c:formatCode>
                <c:ptCount val="8"/>
                <c:pt idx="0">
                  <c:v>9.6810497484943951</c:v>
                </c:pt>
                <c:pt idx="1">
                  <c:v>18.053664517779097</c:v>
                </c:pt>
                <c:pt idx="2">
                  <c:v>21.359819509525146</c:v>
                </c:pt>
                <c:pt idx="3">
                  <c:v>28.544073834004319</c:v>
                </c:pt>
                <c:pt idx="4">
                  <c:v>26.375220480358699</c:v>
                </c:pt>
                <c:pt idx="5">
                  <c:v>23.159652026228304</c:v>
                </c:pt>
                <c:pt idx="6">
                  <c:v>24.342128617722082</c:v>
                </c:pt>
                <c:pt idx="7">
                  <c:v>24.319805441556468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43D-5747-8F12-9ACC4A84B5D8}"/>
            </c:ext>
          </c:extLst>
        </c:ser>
        <c:ser>
          <c:idx val="2"/>
          <c:order val="2"/>
          <c:tx>
            <c:strRef>
              <c:f>Feuil1!$D$89</c:f>
              <c:strCache>
                <c:ptCount val="1"/>
                <c:pt idx="0">
                  <c:v>16 villes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Feuil1!$A$90:$A$97</c:f>
              <c:numCache>
                <c:formatCode>General</c:formatCode>
                <c:ptCount val="8"/>
                <c:pt idx="0">
                  <c:v>32</c:v>
                </c:pt>
                <c:pt idx="1">
                  <c:v>64</c:v>
                </c:pt>
                <c:pt idx="2">
                  <c:v>96</c:v>
                </c:pt>
                <c:pt idx="3">
                  <c:v>128</c:v>
                </c:pt>
                <c:pt idx="4">
                  <c:v>160</c:v>
                </c:pt>
                <c:pt idx="5">
                  <c:v>192</c:v>
                </c:pt>
                <c:pt idx="6">
                  <c:v>224</c:v>
                </c:pt>
                <c:pt idx="7">
                  <c:v>256</c:v>
                </c:pt>
              </c:numCache>
            </c:numRef>
          </c:xVal>
          <c:yVal>
            <c:numRef>
              <c:f>Feuil1!$D$90:$D$97</c:f>
              <c:numCache>
                <c:formatCode>General</c:formatCode>
                <c:ptCount val="8"/>
                <c:pt idx="0">
                  <c:v>49.337540729167742</c:v>
                </c:pt>
                <c:pt idx="1">
                  <c:v>73.277967757694185</c:v>
                </c:pt>
                <c:pt idx="2">
                  <c:v>76.08661192657641</c:v>
                </c:pt>
                <c:pt idx="3">
                  <c:v>78.806087770280257</c:v>
                </c:pt>
                <c:pt idx="4">
                  <c:v>66.772389616893406</c:v>
                </c:pt>
                <c:pt idx="5">
                  <c:v>65.705720504291406</c:v>
                </c:pt>
                <c:pt idx="6">
                  <c:v>59.481028030434459</c:v>
                </c:pt>
                <c:pt idx="7">
                  <c:v>56.75905779964053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43D-5747-8F12-9ACC4A84B5D8}"/>
            </c:ext>
          </c:extLst>
        </c:ser>
        <c:ser>
          <c:idx val="3"/>
          <c:order val="3"/>
          <c:tx>
            <c:strRef>
              <c:f>Feuil1!$E$89</c:f>
              <c:strCache>
                <c:ptCount val="1"/>
                <c:pt idx="0">
                  <c:v>15 villes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Feuil1!$A$90:$A$97</c:f>
              <c:numCache>
                <c:formatCode>General</c:formatCode>
                <c:ptCount val="8"/>
                <c:pt idx="0">
                  <c:v>32</c:v>
                </c:pt>
                <c:pt idx="1">
                  <c:v>64</c:v>
                </c:pt>
                <c:pt idx="2">
                  <c:v>96</c:v>
                </c:pt>
                <c:pt idx="3">
                  <c:v>128</c:v>
                </c:pt>
                <c:pt idx="4">
                  <c:v>160</c:v>
                </c:pt>
                <c:pt idx="5">
                  <c:v>192</c:v>
                </c:pt>
                <c:pt idx="6">
                  <c:v>224</c:v>
                </c:pt>
                <c:pt idx="7">
                  <c:v>256</c:v>
                </c:pt>
              </c:numCache>
            </c:numRef>
          </c:xVal>
          <c:yVal>
            <c:numRef>
              <c:f>Feuil1!$E$90:$E$97</c:f>
              <c:numCache>
                <c:formatCode>General</c:formatCode>
                <c:ptCount val="8"/>
                <c:pt idx="0">
                  <c:v>0.26839152956332696</c:v>
                </c:pt>
                <c:pt idx="1">
                  <c:v>0.31121623303871532</c:v>
                </c:pt>
                <c:pt idx="2">
                  <c:v>0.25401341190814875</c:v>
                </c:pt>
                <c:pt idx="3">
                  <c:v>0.23645692937031518</c:v>
                </c:pt>
                <c:pt idx="4">
                  <c:v>0.22267251553140799</c:v>
                </c:pt>
                <c:pt idx="5">
                  <c:v>0.1652701340340787</c:v>
                </c:pt>
                <c:pt idx="6">
                  <c:v>0.15440438508453641</c:v>
                </c:pt>
                <c:pt idx="7">
                  <c:v>0.13353809174066902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43D-5747-8F12-9ACC4A84B5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9752592"/>
        <c:axId val="465718687"/>
      </c:scatterChart>
      <c:valAx>
        <c:axId val="509752592"/>
        <c:scaling>
          <c:orientation val="minMax"/>
          <c:max val="256"/>
          <c:min val="3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%">
                    <a:solidFill>
                      <a:schemeClr val="tx1">
                        <a:lumMod val="65%"/>
                        <a:lumOff val="35%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Nombres de threads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%">
                  <a:solidFill>
                    <a:schemeClr val="tx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65718687"/>
        <c:crosses val="autoZero"/>
        <c:crossBetween val="midCat"/>
      </c:valAx>
      <c:valAx>
        <c:axId val="4657186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%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%">
                    <a:solidFill>
                      <a:sysClr val="windowText" lastClr="000000">
                        <a:lumMod val="65%"/>
                        <a:lumOff val="35%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 sz="1000" b="0" i="0" u="none" strike="noStrike" kern="1200" baseline="0%">
                    <a:solidFill>
                      <a:sysClr val="windowText" lastClr="000000">
                        <a:lumMod val="65%"/>
                        <a:lumOff val="35%"/>
                      </a:sysClr>
                    </a:solidFill>
                  </a:rPr>
                  <a:t>Speedup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%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%">
                  <a:solidFill>
                    <a:sysClr val="windowText" lastClr="000000">
                      <a:lumMod val="65%"/>
                      <a:lumOff val="35%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097525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Efficience Version 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Feuil1!$B$89</c:f>
              <c:strCache>
                <c:ptCount val="1"/>
                <c:pt idx="0">
                  <c:v>18 villes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Feuil1!$A$100:$A$107</c:f>
              <c:numCache>
                <c:formatCode>General</c:formatCode>
                <c:ptCount val="8"/>
                <c:pt idx="0">
                  <c:v>32</c:v>
                </c:pt>
                <c:pt idx="1">
                  <c:v>64</c:v>
                </c:pt>
                <c:pt idx="2">
                  <c:v>96</c:v>
                </c:pt>
                <c:pt idx="3">
                  <c:v>128</c:v>
                </c:pt>
                <c:pt idx="4">
                  <c:v>160</c:v>
                </c:pt>
                <c:pt idx="5">
                  <c:v>192</c:v>
                </c:pt>
                <c:pt idx="6">
                  <c:v>224</c:v>
                </c:pt>
                <c:pt idx="7">
                  <c:v>256</c:v>
                </c:pt>
              </c:numCache>
            </c:numRef>
          </c:xVal>
          <c:yVal>
            <c:numRef>
              <c:f>Feuil1!$B$100:$B$107</c:f>
              <c:numCache>
                <c:formatCode>General</c:formatCode>
                <c:ptCount val="8"/>
                <c:pt idx="0">
                  <c:v>0.68644326178507753</c:v>
                </c:pt>
                <c:pt idx="1">
                  <c:v>0.56264579277782456</c:v>
                </c:pt>
                <c:pt idx="2">
                  <c:v>0.45669547720950737</c:v>
                </c:pt>
                <c:pt idx="3">
                  <c:v>0.42715999431364615</c:v>
                </c:pt>
                <c:pt idx="4">
                  <c:v>0.3640264941394647</c:v>
                </c:pt>
                <c:pt idx="5">
                  <c:v>0.31446654800460155</c:v>
                </c:pt>
                <c:pt idx="6">
                  <c:v>0.23976219273228239</c:v>
                </c:pt>
                <c:pt idx="7">
                  <c:v>0.22306132937414344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BB9-2F41-88EE-3427C522EC73}"/>
            </c:ext>
          </c:extLst>
        </c:ser>
        <c:ser>
          <c:idx val="1"/>
          <c:order val="1"/>
          <c:tx>
            <c:strRef>
              <c:f>Feuil1!$C$89</c:f>
              <c:strCache>
                <c:ptCount val="1"/>
                <c:pt idx="0">
                  <c:v>17 villes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Feuil1!$A$100:$A$107</c:f>
              <c:numCache>
                <c:formatCode>General</c:formatCode>
                <c:ptCount val="8"/>
                <c:pt idx="0">
                  <c:v>32</c:v>
                </c:pt>
                <c:pt idx="1">
                  <c:v>64</c:v>
                </c:pt>
                <c:pt idx="2">
                  <c:v>96</c:v>
                </c:pt>
                <c:pt idx="3">
                  <c:v>128</c:v>
                </c:pt>
                <c:pt idx="4">
                  <c:v>160</c:v>
                </c:pt>
                <c:pt idx="5">
                  <c:v>192</c:v>
                </c:pt>
                <c:pt idx="6">
                  <c:v>224</c:v>
                </c:pt>
                <c:pt idx="7">
                  <c:v>256</c:v>
                </c:pt>
              </c:numCache>
            </c:numRef>
          </c:xVal>
          <c:yVal>
            <c:numRef>
              <c:f>Feuil1!$C$100:$C$107</c:f>
              <c:numCache>
                <c:formatCode>General</c:formatCode>
                <c:ptCount val="8"/>
                <c:pt idx="0">
                  <c:v>0.30253280464044985</c:v>
                </c:pt>
                <c:pt idx="1">
                  <c:v>0.2820885080902984</c:v>
                </c:pt>
                <c:pt idx="2">
                  <c:v>0.22249811989088694</c:v>
                </c:pt>
                <c:pt idx="3">
                  <c:v>0.22300057682815874</c:v>
                </c:pt>
                <c:pt idx="4">
                  <c:v>0.16484512800224188</c:v>
                </c:pt>
                <c:pt idx="5">
                  <c:v>0.12062318763660575</c:v>
                </c:pt>
                <c:pt idx="6">
                  <c:v>0.10867021704340216</c:v>
                </c:pt>
                <c:pt idx="7">
                  <c:v>9.4999240006079955E-2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BB9-2F41-88EE-3427C522EC73}"/>
            </c:ext>
          </c:extLst>
        </c:ser>
        <c:ser>
          <c:idx val="2"/>
          <c:order val="2"/>
          <c:tx>
            <c:strRef>
              <c:f>Feuil1!$D$89</c:f>
              <c:strCache>
                <c:ptCount val="1"/>
                <c:pt idx="0">
                  <c:v>16 villes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Feuil1!$A$100:$A$107</c:f>
              <c:numCache>
                <c:formatCode>General</c:formatCode>
                <c:ptCount val="8"/>
                <c:pt idx="0">
                  <c:v>32</c:v>
                </c:pt>
                <c:pt idx="1">
                  <c:v>64</c:v>
                </c:pt>
                <c:pt idx="2">
                  <c:v>96</c:v>
                </c:pt>
                <c:pt idx="3">
                  <c:v>128</c:v>
                </c:pt>
                <c:pt idx="4">
                  <c:v>160</c:v>
                </c:pt>
                <c:pt idx="5">
                  <c:v>192</c:v>
                </c:pt>
                <c:pt idx="6">
                  <c:v>224</c:v>
                </c:pt>
                <c:pt idx="7">
                  <c:v>256</c:v>
                </c:pt>
              </c:numCache>
            </c:numRef>
          </c:xVal>
          <c:yVal>
            <c:numRef>
              <c:f>Feuil1!$D$100:$D$107</c:f>
              <c:numCache>
                <c:formatCode>General</c:formatCode>
                <c:ptCount val="8"/>
                <c:pt idx="0">
                  <c:v>1.5417981477864919</c:v>
                </c:pt>
                <c:pt idx="1">
                  <c:v>1.1449682462139716</c:v>
                </c:pt>
                <c:pt idx="2">
                  <c:v>0.79256887423517097</c:v>
                </c:pt>
                <c:pt idx="3">
                  <c:v>0.61567256070531451</c:v>
                </c:pt>
                <c:pt idx="4">
                  <c:v>0.41732743510558379</c:v>
                </c:pt>
                <c:pt idx="5">
                  <c:v>0.34221729429318443</c:v>
                </c:pt>
                <c:pt idx="6">
                  <c:v>0.2655403037072967</c:v>
                </c:pt>
                <c:pt idx="7">
                  <c:v>0.22171506952984582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BB9-2F41-88EE-3427C522EC73}"/>
            </c:ext>
          </c:extLst>
        </c:ser>
        <c:ser>
          <c:idx val="3"/>
          <c:order val="3"/>
          <c:tx>
            <c:strRef>
              <c:f>Feuil1!$E$89</c:f>
              <c:strCache>
                <c:ptCount val="1"/>
                <c:pt idx="0">
                  <c:v>15 villes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Feuil1!$A$100:$A$107</c:f>
              <c:numCache>
                <c:formatCode>General</c:formatCode>
                <c:ptCount val="8"/>
                <c:pt idx="0">
                  <c:v>32</c:v>
                </c:pt>
                <c:pt idx="1">
                  <c:v>64</c:v>
                </c:pt>
                <c:pt idx="2">
                  <c:v>96</c:v>
                </c:pt>
                <c:pt idx="3">
                  <c:v>128</c:v>
                </c:pt>
                <c:pt idx="4">
                  <c:v>160</c:v>
                </c:pt>
                <c:pt idx="5">
                  <c:v>192</c:v>
                </c:pt>
                <c:pt idx="6">
                  <c:v>224</c:v>
                </c:pt>
                <c:pt idx="7">
                  <c:v>256</c:v>
                </c:pt>
              </c:numCache>
            </c:numRef>
          </c:xVal>
          <c:yVal>
            <c:numRef>
              <c:f>Feuil1!$E$100:$E$107</c:f>
              <c:numCache>
                <c:formatCode>General</c:formatCode>
                <c:ptCount val="8"/>
                <c:pt idx="0">
                  <c:v>8.3872352988539674E-3</c:v>
                </c:pt>
                <c:pt idx="1">
                  <c:v>4.8627536412299268E-3</c:v>
                </c:pt>
                <c:pt idx="2">
                  <c:v>2.6459730407098828E-3</c:v>
                </c:pt>
                <c:pt idx="3">
                  <c:v>1.8473197607055873E-3</c:v>
                </c:pt>
                <c:pt idx="4">
                  <c:v>1.3917032220712999E-3</c:v>
                </c:pt>
                <c:pt idx="5">
                  <c:v>8.6078194809415985E-4</c:v>
                </c:pt>
                <c:pt idx="6">
                  <c:v>6.8930529055596609E-4</c:v>
                </c:pt>
                <c:pt idx="7">
                  <c:v>5.2163317086198837E-4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BB9-2F41-88EE-3427C522EC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9752592"/>
        <c:axId val="465718687"/>
      </c:scatterChart>
      <c:valAx>
        <c:axId val="509752592"/>
        <c:scaling>
          <c:orientation val="minMax"/>
          <c:max val="256"/>
          <c:min val="3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%">
                    <a:solidFill>
                      <a:schemeClr val="tx1">
                        <a:lumMod val="65%"/>
                        <a:lumOff val="35%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Nombres de threads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%">
                  <a:solidFill>
                    <a:schemeClr val="tx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65718687"/>
        <c:crosses val="autoZero"/>
        <c:crossBetween val="midCat"/>
      </c:valAx>
      <c:valAx>
        <c:axId val="4657186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%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%">
                    <a:solidFill>
                      <a:sysClr val="windowText" lastClr="000000">
                        <a:lumMod val="65%"/>
                        <a:lumOff val="35%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 sz="1000" b="0" i="0" u="none" strike="noStrike" kern="1200" baseline="0%">
                    <a:solidFill>
                      <a:sysClr val="windowText" lastClr="000000">
                        <a:lumMod val="65%"/>
                        <a:lumOff val="35%"/>
                      </a:sysClr>
                    </a:solidFill>
                  </a:rPr>
                  <a:t>Efficience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%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%">
                  <a:solidFill>
                    <a:sysClr val="windowText" lastClr="000000">
                      <a:lumMod val="65%"/>
                      <a:lumOff val="35%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097525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 sz="1400" b="0" i="0" u="none" strike="noStrike" kern="1200" spc="0" baseline="0%">
                <a:solidFill>
                  <a:sysClr val="windowText" lastClr="000000">
                    <a:lumMod val="65%"/>
                    <a:lumOff val="35%"/>
                  </a:sysClr>
                </a:solidFill>
              </a:rPr>
              <a:t>Temps d'exécussion V2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Feuil1!$B$76</c:f>
              <c:strCache>
                <c:ptCount val="1"/>
                <c:pt idx="0">
                  <c:v>18 villes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Feuil1!$A$77:$A$84</c:f>
              <c:numCache>
                <c:formatCode>General</c:formatCode>
                <c:ptCount val="8"/>
                <c:pt idx="0">
                  <c:v>32</c:v>
                </c:pt>
                <c:pt idx="1">
                  <c:v>64</c:v>
                </c:pt>
                <c:pt idx="2">
                  <c:v>96</c:v>
                </c:pt>
                <c:pt idx="3">
                  <c:v>128</c:v>
                </c:pt>
                <c:pt idx="4">
                  <c:v>160</c:v>
                </c:pt>
                <c:pt idx="5">
                  <c:v>192</c:v>
                </c:pt>
                <c:pt idx="6">
                  <c:v>224</c:v>
                </c:pt>
                <c:pt idx="7">
                  <c:v>256</c:v>
                </c:pt>
              </c:numCache>
            </c:numRef>
          </c:xVal>
          <c:yVal>
            <c:numRef>
              <c:f>Feuil1!$B$77:$B$84</c:f>
              <c:numCache>
                <c:formatCode>General</c:formatCode>
                <c:ptCount val="8"/>
                <c:pt idx="0">
                  <c:v>227622.6</c:v>
                </c:pt>
                <c:pt idx="1">
                  <c:v>138852.9</c:v>
                </c:pt>
                <c:pt idx="2">
                  <c:v>114043.9</c:v>
                </c:pt>
                <c:pt idx="3">
                  <c:v>91447</c:v>
                </c:pt>
                <c:pt idx="4">
                  <c:v>85845.4</c:v>
                </c:pt>
                <c:pt idx="5">
                  <c:v>82812.2</c:v>
                </c:pt>
                <c:pt idx="6">
                  <c:v>93098.2</c:v>
                </c:pt>
                <c:pt idx="7">
                  <c:v>87560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AB2-1842-BBA4-D50556DC3F56}"/>
            </c:ext>
          </c:extLst>
        </c:ser>
        <c:ser>
          <c:idx val="1"/>
          <c:order val="1"/>
          <c:tx>
            <c:strRef>
              <c:f>Feuil1!$C$76</c:f>
              <c:strCache>
                <c:ptCount val="1"/>
                <c:pt idx="0">
                  <c:v>17 villes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Feuil1!$A$77:$A$84</c:f>
              <c:numCache>
                <c:formatCode>General</c:formatCode>
                <c:ptCount val="8"/>
                <c:pt idx="0">
                  <c:v>32</c:v>
                </c:pt>
                <c:pt idx="1">
                  <c:v>64</c:v>
                </c:pt>
                <c:pt idx="2">
                  <c:v>96</c:v>
                </c:pt>
                <c:pt idx="3">
                  <c:v>128</c:v>
                </c:pt>
                <c:pt idx="4">
                  <c:v>160</c:v>
                </c:pt>
                <c:pt idx="5">
                  <c:v>192</c:v>
                </c:pt>
                <c:pt idx="6">
                  <c:v>224</c:v>
                </c:pt>
                <c:pt idx="7">
                  <c:v>256</c:v>
                </c:pt>
              </c:numCache>
            </c:numRef>
          </c:xVal>
          <c:yVal>
            <c:numRef>
              <c:f>Feuil1!$C$77:$C$84</c:f>
              <c:numCache>
                <c:formatCode>General</c:formatCode>
                <c:ptCount val="8"/>
                <c:pt idx="0">
                  <c:v>49581.4</c:v>
                </c:pt>
                <c:pt idx="1">
                  <c:v>26587.4</c:v>
                </c:pt>
                <c:pt idx="2">
                  <c:v>22472.1</c:v>
                </c:pt>
                <c:pt idx="3">
                  <c:v>16816.099999999999</c:v>
                </c:pt>
                <c:pt idx="4">
                  <c:v>18198.900000000001</c:v>
                </c:pt>
                <c:pt idx="5">
                  <c:v>20725.7</c:v>
                </c:pt>
                <c:pt idx="6">
                  <c:v>19718.900000000001</c:v>
                </c:pt>
                <c:pt idx="7">
                  <c:v>19737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AB2-1842-BBA4-D50556DC3F56}"/>
            </c:ext>
          </c:extLst>
        </c:ser>
        <c:ser>
          <c:idx val="2"/>
          <c:order val="2"/>
          <c:tx>
            <c:strRef>
              <c:f>Feuil1!$D$76</c:f>
              <c:strCache>
                <c:ptCount val="1"/>
                <c:pt idx="0">
                  <c:v>16 villes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Feuil1!$A$77:$A$84</c:f>
              <c:numCache>
                <c:formatCode>General</c:formatCode>
                <c:ptCount val="8"/>
                <c:pt idx="0">
                  <c:v>32</c:v>
                </c:pt>
                <c:pt idx="1">
                  <c:v>64</c:v>
                </c:pt>
                <c:pt idx="2">
                  <c:v>96</c:v>
                </c:pt>
                <c:pt idx="3">
                  <c:v>128</c:v>
                </c:pt>
                <c:pt idx="4">
                  <c:v>160</c:v>
                </c:pt>
                <c:pt idx="5">
                  <c:v>192</c:v>
                </c:pt>
                <c:pt idx="6">
                  <c:v>224</c:v>
                </c:pt>
                <c:pt idx="7">
                  <c:v>256</c:v>
                </c:pt>
              </c:numCache>
            </c:numRef>
          </c:xVal>
          <c:yVal>
            <c:numRef>
              <c:f>Feuil1!$D$77:$D$84</c:f>
              <c:numCache>
                <c:formatCode>General</c:formatCode>
                <c:ptCount val="8"/>
                <c:pt idx="0">
                  <c:v>9728.9</c:v>
                </c:pt>
                <c:pt idx="1">
                  <c:v>6550.4</c:v>
                </c:pt>
                <c:pt idx="2">
                  <c:v>6308.6</c:v>
                </c:pt>
                <c:pt idx="3">
                  <c:v>6090.9</c:v>
                </c:pt>
                <c:pt idx="4">
                  <c:v>7188.6</c:v>
                </c:pt>
                <c:pt idx="5">
                  <c:v>7305.3</c:v>
                </c:pt>
                <c:pt idx="6">
                  <c:v>8069.8</c:v>
                </c:pt>
                <c:pt idx="7">
                  <c:v>8456.7999999999993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AB2-1842-BBA4-D50556DC3F56}"/>
            </c:ext>
          </c:extLst>
        </c:ser>
        <c:ser>
          <c:idx val="3"/>
          <c:order val="3"/>
          <c:tx>
            <c:strRef>
              <c:f>Feuil1!$E$76</c:f>
              <c:strCache>
                <c:ptCount val="1"/>
                <c:pt idx="0">
                  <c:v>15 villes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Feuil1!$A$77:$A$84</c:f>
              <c:numCache>
                <c:formatCode>General</c:formatCode>
                <c:ptCount val="8"/>
                <c:pt idx="0">
                  <c:v>32</c:v>
                </c:pt>
                <c:pt idx="1">
                  <c:v>64</c:v>
                </c:pt>
                <c:pt idx="2">
                  <c:v>96</c:v>
                </c:pt>
                <c:pt idx="3">
                  <c:v>128</c:v>
                </c:pt>
                <c:pt idx="4">
                  <c:v>160</c:v>
                </c:pt>
                <c:pt idx="5">
                  <c:v>192</c:v>
                </c:pt>
                <c:pt idx="6">
                  <c:v>224</c:v>
                </c:pt>
                <c:pt idx="7">
                  <c:v>256</c:v>
                </c:pt>
              </c:numCache>
            </c:numRef>
          </c:xVal>
          <c:yVal>
            <c:numRef>
              <c:f>Feuil1!$E$77:$E$84</c:f>
              <c:numCache>
                <c:formatCode>General</c:formatCode>
                <c:ptCount val="8"/>
                <c:pt idx="0">
                  <c:v>3725.9</c:v>
                </c:pt>
                <c:pt idx="1">
                  <c:v>3213.2</c:v>
                </c:pt>
                <c:pt idx="2">
                  <c:v>3936.8</c:v>
                </c:pt>
                <c:pt idx="3">
                  <c:v>4229.1000000000004</c:v>
                </c:pt>
                <c:pt idx="4">
                  <c:v>4490.8999999999996</c:v>
                </c:pt>
                <c:pt idx="5">
                  <c:v>6050.7</c:v>
                </c:pt>
                <c:pt idx="6">
                  <c:v>6476.5</c:v>
                </c:pt>
                <c:pt idx="7">
                  <c:v>7488.5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AB2-1842-BBA4-D50556DC3F56}"/>
            </c:ext>
          </c:extLst>
        </c:ser>
        <c:ser>
          <c:idx val="4"/>
          <c:order val="4"/>
          <c:tx>
            <c:strRef>
              <c:f>Feuil1!$F$76</c:f>
              <c:strCache>
                <c:ptCount val="1"/>
                <c:pt idx="0">
                  <c:v>14 villes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Feuil1!$A$77:$A$84</c:f>
              <c:numCache>
                <c:formatCode>General</c:formatCode>
                <c:ptCount val="8"/>
                <c:pt idx="0">
                  <c:v>32</c:v>
                </c:pt>
                <c:pt idx="1">
                  <c:v>64</c:v>
                </c:pt>
                <c:pt idx="2">
                  <c:v>96</c:v>
                </c:pt>
                <c:pt idx="3">
                  <c:v>128</c:v>
                </c:pt>
                <c:pt idx="4">
                  <c:v>160</c:v>
                </c:pt>
                <c:pt idx="5">
                  <c:v>192</c:v>
                </c:pt>
                <c:pt idx="6">
                  <c:v>224</c:v>
                </c:pt>
                <c:pt idx="7">
                  <c:v>256</c:v>
                </c:pt>
              </c:numCache>
            </c:numRef>
          </c:xVal>
          <c:yVal>
            <c:numRef>
              <c:f>Feuil1!$F$77:$F$84</c:f>
              <c:numCache>
                <c:formatCode>General</c:formatCode>
                <c:ptCount val="8"/>
                <c:pt idx="0">
                  <c:v>884.8</c:v>
                </c:pt>
                <c:pt idx="1">
                  <c:v>743.1</c:v>
                </c:pt>
                <c:pt idx="2">
                  <c:v>760</c:v>
                </c:pt>
                <c:pt idx="3">
                  <c:v>846.8</c:v>
                </c:pt>
                <c:pt idx="4">
                  <c:v>888.7</c:v>
                </c:pt>
                <c:pt idx="5">
                  <c:v>988.5</c:v>
                </c:pt>
                <c:pt idx="6">
                  <c:v>1012.1</c:v>
                </c:pt>
                <c:pt idx="7">
                  <c:v>1078.8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AB2-1842-BBA4-D50556DC3F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3334015"/>
        <c:axId val="510930208"/>
      </c:scatterChart>
      <c:valAx>
        <c:axId val="1463334015"/>
        <c:scaling>
          <c:orientation val="minMax"/>
          <c:max val="256"/>
          <c:min val="3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%">
                    <a:solidFill>
                      <a:schemeClr val="tx1">
                        <a:lumMod val="65%"/>
                        <a:lumOff val="35%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 sz="1000" b="0" i="0" u="none" strike="noStrike" kern="1200" baseline="0%">
                    <a:solidFill>
                      <a:sysClr val="windowText" lastClr="000000">
                        <a:lumMod val="65%"/>
                        <a:lumOff val="35%"/>
                      </a:sysClr>
                    </a:solidFill>
                  </a:rPr>
                  <a:t>Nb Threads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%">
                  <a:solidFill>
                    <a:schemeClr val="tx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10930208"/>
        <c:crosses val="autoZero"/>
        <c:crossBetween val="midCat"/>
      </c:valAx>
      <c:valAx>
        <c:axId val="510930208"/>
        <c:scaling>
          <c:orientation val="minMax"/>
          <c:max val="230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%">
                    <a:solidFill>
                      <a:schemeClr val="tx1">
                        <a:lumMod val="65%"/>
                        <a:lumOff val="35%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 sz="1000" b="0" i="0" u="none" strike="noStrike" kern="1200" baseline="0%">
                    <a:solidFill>
                      <a:sysClr val="windowText" lastClr="000000">
                        <a:lumMod val="65%"/>
                        <a:lumOff val="35%"/>
                      </a:sysClr>
                    </a:solidFill>
                  </a:rPr>
                  <a:t>Temps [ms]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%">
                  <a:solidFill>
                    <a:schemeClr val="tx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4633340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058333333333336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Feuil1!$F$2:$F$10</c:f>
              <c:numCache>
                <c:formatCode>General</c:formatCode>
                <c:ptCount val="9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</c:numCache>
            </c:numRef>
          </c:xVal>
          <c:yVal>
            <c:numRef>
              <c:f>Feuil1!$G$2:$G$10</c:f>
              <c:numCache>
                <c:formatCode>General</c:formatCode>
                <c:ptCount val="9"/>
                <c:pt idx="0">
                  <c:v>1.6425500000000002</c:v>
                </c:pt>
                <c:pt idx="1">
                  <c:v>2.7105125000000001</c:v>
                </c:pt>
                <c:pt idx="2">
                  <c:v>2.8462624999999999</c:v>
                </c:pt>
                <c:pt idx="3">
                  <c:v>2.8583375000000002</c:v>
                </c:pt>
                <c:pt idx="4">
                  <c:v>2.7817249999999998</c:v>
                </c:pt>
                <c:pt idx="5">
                  <c:v>1.4606124999999999</c:v>
                </c:pt>
                <c:pt idx="6">
                  <c:v>1.4096500000000001</c:v>
                </c:pt>
                <c:pt idx="7">
                  <c:v>2.3096125000000001</c:v>
                </c:pt>
                <c:pt idx="8">
                  <c:v>2.7622625000000003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1EE-7E43-AEE5-BB5E35AB12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19910303"/>
        <c:axId val="1919120383"/>
      </c:scatterChart>
      <c:valAx>
        <c:axId val="1919910303"/>
        <c:scaling>
          <c:orientation val="minMax"/>
          <c:max val="18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919120383"/>
        <c:crosses val="autoZero"/>
        <c:crossBetween val="midCat"/>
      </c:valAx>
      <c:valAx>
        <c:axId val="1919120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9199103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Feuil1!$F$21:$F$24</c:f>
              <c:numCache>
                <c:formatCode>General</c:formatCode>
                <c:ptCount val="4"/>
                <c:pt idx="0">
                  <c:v>15</c:v>
                </c:pt>
                <c:pt idx="1">
                  <c:v>16</c:v>
                </c:pt>
                <c:pt idx="2">
                  <c:v>17</c:v>
                </c:pt>
                <c:pt idx="3">
                  <c:v>18</c:v>
                </c:pt>
              </c:numCache>
            </c:numRef>
          </c:xVal>
          <c:yVal>
            <c:numRef>
              <c:f>Feuil1!$G$21:$G$24</c:f>
              <c:numCache>
                <c:formatCode>General</c:formatCode>
                <c:ptCount val="4"/>
                <c:pt idx="0">
                  <c:v>1.9975000000000001</c:v>
                </c:pt>
                <c:pt idx="1">
                  <c:v>1.9094</c:v>
                </c:pt>
                <c:pt idx="2">
                  <c:v>3.5203000000000002</c:v>
                </c:pt>
                <c:pt idx="3">
                  <c:v>3.6985000000000001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13B-0644-AFF3-D14841EE6251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Feuil1!$F$21:$F$24</c:f>
              <c:numCache>
                <c:formatCode>General</c:formatCode>
                <c:ptCount val="4"/>
                <c:pt idx="0">
                  <c:v>15</c:v>
                </c:pt>
                <c:pt idx="1">
                  <c:v>16</c:v>
                </c:pt>
                <c:pt idx="2">
                  <c:v>17</c:v>
                </c:pt>
                <c:pt idx="3">
                  <c:v>18</c:v>
                </c:pt>
              </c:numCache>
            </c:numRef>
          </c:xVal>
          <c:yVal>
            <c:numRef>
              <c:f>Feuil1!$H$21:$H$24</c:f>
              <c:numCache>
                <c:formatCode>General</c:formatCode>
                <c:ptCount val="4"/>
                <c:pt idx="0">
                  <c:v>0.24840000000000001</c:v>
                </c:pt>
                <c:pt idx="1">
                  <c:v>0.248</c:v>
                </c:pt>
                <c:pt idx="2">
                  <c:v>0.3024</c:v>
                </c:pt>
                <c:pt idx="3">
                  <c:v>0.32519999999999999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13B-0644-AFF3-D14841EE6251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Feuil1!$F$21:$F$24</c:f>
              <c:numCache>
                <c:formatCode>General</c:formatCode>
                <c:ptCount val="4"/>
                <c:pt idx="0">
                  <c:v>15</c:v>
                </c:pt>
                <c:pt idx="1">
                  <c:v>16</c:v>
                </c:pt>
                <c:pt idx="2">
                  <c:v>17</c:v>
                </c:pt>
                <c:pt idx="3">
                  <c:v>18</c:v>
                </c:pt>
              </c:numCache>
            </c:numRef>
          </c:xVal>
          <c:yVal>
            <c:numRef>
              <c:f>Feuil1!$I$21:$I$24</c:f>
              <c:numCache>
                <c:formatCode>General</c:formatCode>
                <c:ptCount val="4"/>
                <c:pt idx="0">
                  <c:v>0.79459999999999997</c:v>
                </c:pt>
                <c:pt idx="1">
                  <c:v>0.80759999999999998</c:v>
                </c:pt>
                <c:pt idx="2">
                  <c:v>1.179</c:v>
                </c:pt>
                <c:pt idx="3">
                  <c:v>1.1451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13B-0644-AFF3-D14841EE62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04811024"/>
        <c:axId val="1919543279"/>
      </c:scatterChart>
      <c:valAx>
        <c:axId val="1104811024"/>
        <c:scaling>
          <c:orientation val="minMax"/>
          <c:max val="18"/>
          <c:min val="1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919543279"/>
        <c:crossesAt val="0"/>
        <c:crossBetween val="midCat"/>
      </c:valAx>
      <c:valAx>
        <c:axId val="1919543279"/>
        <c:scaling>
          <c:orientation val="minMax"/>
          <c:max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1048110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Speedup Version 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Feuil1!$B$89</c:f>
              <c:strCache>
                <c:ptCount val="1"/>
                <c:pt idx="0">
                  <c:v>18 villes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Feuil1!$A$90:$A$97</c:f>
              <c:numCache>
                <c:formatCode>General</c:formatCode>
                <c:ptCount val="8"/>
                <c:pt idx="0">
                  <c:v>32</c:v>
                </c:pt>
                <c:pt idx="1">
                  <c:v>64</c:v>
                </c:pt>
                <c:pt idx="2">
                  <c:v>96</c:v>
                </c:pt>
                <c:pt idx="3">
                  <c:v>128</c:v>
                </c:pt>
                <c:pt idx="4">
                  <c:v>160</c:v>
                </c:pt>
                <c:pt idx="5">
                  <c:v>192</c:v>
                </c:pt>
                <c:pt idx="6">
                  <c:v>224</c:v>
                </c:pt>
                <c:pt idx="7">
                  <c:v>256</c:v>
                </c:pt>
              </c:numCache>
            </c:numRef>
          </c:xVal>
          <c:yVal>
            <c:numRef>
              <c:f>Feuil1!$B$90:$B$97</c:f>
              <c:numCache>
                <c:formatCode>General</c:formatCode>
                <c:ptCount val="8"/>
                <c:pt idx="0">
                  <c:v>21.966184377122481</c:v>
                </c:pt>
                <c:pt idx="1">
                  <c:v>36.009330737780772</c:v>
                </c:pt>
                <c:pt idx="2">
                  <c:v>43.84276581211271</c:v>
                </c:pt>
                <c:pt idx="3">
                  <c:v>54.676479272146707</c:v>
                </c:pt>
                <c:pt idx="4">
                  <c:v>58.24423906231435</c:v>
                </c:pt>
                <c:pt idx="5">
                  <c:v>60.377577216883502</c:v>
                </c:pt>
                <c:pt idx="6">
                  <c:v>53.706731172031255</c:v>
                </c:pt>
                <c:pt idx="7">
                  <c:v>57.103700319780721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A91-374C-A271-9ACFC37E8331}"/>
            </c:ext>
          </c:extLst>
        </c:ser>
        <c:ser>
          <c:idx val="1"/>
          <c:order val="1"/>
          <c:tx>
            <c:strRef>
              <c:f>Feuil1!$C$89</c:f>
              <c:strCache>
                <c:ptCount val="1"/>
                <c:pt idx="0">
                  <c:v>17 villes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Feuil1!$A$90:$A$97</c:f>
              <c:numCache>
                <c:formatCode>General</c:formatCode>
                <c:ptCount val="8"/>
                <c:pt idx="0">
                  <c:v>32</c:v>
                </c:pt>
                <c:pt idx="1">
                  <c:v>64</c:v>
                </c:pt>
                <c:pt idx="2">
                  <c:v>96</c:v>
                </c:pt>
                <c:pt idx="3">
                  <c:v>128</c:v>
                </c:pt>
                <c:pt idx="4">
                  <c:v>160</c:v>
                </c:pt>
                <c:pt idx="5">
                  <c:v>192</c:v>
                </c:pt>
                <c:pt idx="6">
                  <c:v>224</c:v>
                </c:pt>
                <c:pt idx="7">
                  <c:v>256</c:v>
                </c:pt>
              </c:numCache>
            </c:numRef>
          </c:xVal>
          <c:yVal>
            <c:numRef>
              <c:f>Feuil1!$C$90:$C$97</c:f>
              <c:numCache>
                <c:formatCode>General</c:formatCode>
                <c:ptCount val="8"/>
                <c:pt idx="0">
                  <c:v>9.6810497484943951</c:v>
                </c:pt>
                <c:pt idx="1">
                  <c:v>18.053664517779097</c:v>
                </c:pt>
                <c:pt idx="2">
                  <c:v>21.359819509525146</c:v>
                </c:pt>
                <c:pt idx="3">
                  <c:v>28.544073834004319</c:v>
                </c:pt>
                <c:pt idx="4">
                  <c:v>26.375220480358699</c:v>
                </c:pt>
                <c:pt idx="5">
                  <c:v>23.159652026228304</c:v>
                </c:pt>
                <c:pt idx="6">
                  <c:v>24.342128617722082</c:v>
                </c:pt>
                <c:pt idx="7">
                  <c:v>24.319805441556468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A91-374C-A271-9ACFC37E8331}"/>
            </c:ext>
          </c:extLst>
        </c:ser>
        <c:ser>
          <c:idx val="2"/>
          <c:order val="2"/>
          <c:tx>
            <c:strRef>
              <c:f>Feuil1!$D$89</c:f>
              <c:strCache>
                <c:ptCount val="1"/>
                <c:pt idx="0">
                  <c:v>16 villes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Feuil1!$A$90:$A$97</c:f>
              <c:numCache>
                <c:formatCode>General</c:formatCode>
                <c:ptCount val="8"/>
                <c:pt idx="0">
                  <c:v>32</c:v>
                </c:pt>
                <c:pt idx="1">
                  <c:v>64</c:v>
                </c:pt>
                <c:pt idx="2">
                  <c:v>96</c:v>
                </c:pt>
                <c:pt idx="3">
                  <c:v>128</c:v>
                </c:pt>
                <c:pt idx="4">
                  <c:v>160</c:v>
                </c:pt>
                <c:pt idx="5">
                  <c:v>192</c:v>
                </c:pt>
                <c:pt idx="6">
                  <c:v>224</c:v>
                </c:pt>
                <c:pt idx="7">
                  <c:v>256</c:v>
                </c:pt>
              </c:numCache>
            </c:numRef>
          </c:xVal>
          <c:yVal>
            <c:numRef>
              <c:f>Feuil1!$D$90:$D$97</c:f>
              <c:numCache>
                <c:formatCode>General</c:formatCode>
                <c:ptCount val="8"/>
                <c:pt idx="0">
                  <c:v>49.337540729167742</c:v>
                </c:pt>
                <c:pt idx="1">
                  <c:v>73.277967757694185</c:v>
                </c:pt>
                <c:pt idx="2">
                  <c:v>76.08661192657641</c:v>
                </c:pt>
                <c:pt idx="3">
                  <c:v>78.806087770280257</c:v>
                </c:pt>
                <c:pt idx="4">
                  <c:v>66.772389616893406</c:v>
                </c:pt>
                <c:pt idx="5">
                  <c:v>65.705720504291406</c:v>
                </c:pt>
                <c:pt idx="6">
                  <c:v>59.481028030434459</c:v>
                </c:pt>
                <c:pt idx="7">
                  <c:v>56.75905779964053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A91-374C-A271-9ACFC37E8331}"/>
            </c:ext>
          </c:extLst>
        </c:ser>
        <c:ser>
          <c:idx val="3"/>
          <c:order val="3"/>
          <c:tx>
            <c:strRef>
              <c:f>Feuil1!$E$89</c:f>
              <c:strCache>
                <c:ptCount val="1"/>
                <c:pt idx="0">
                  <c:v>15 villes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Feuil1!$A$90:$A$97</c:f>
              <c:numCache>
                <c:formatCode>General</c:formatCode>
                <c:ptCount val="8"/>
                <c:pt idx="0">
                  <c:v>32</c:v>
                </c:pt>
                <c:pt idx="1">
                  <c:v>64</c:v>
                </c:pt>
                <c:pt idx="2">
                  <c:v>96</c:v>
                </c:pt>
                <c:pt idx="3">
                  <c:v>128</c:v>
                </c:pt>
                <c:pt idx="4">
                  <c:v>160</c:v>
                </c:pt>
                <c:pt idx="5">
                  <c:v>192</c:v>
                </c:pt>
                <c:pt idx="6">
                  <c:v>224</c:v>
                </c:pt>
                <c:pt idx="7">
                  <c:v>256</c:v>
                </c:pt>
              </c:numCache>
            </c:numRef>
          </c:xVal>
          <c:yVal>
            <c:numRef>
              <c:f>Feuil1!$E$90:$E$97</c:f>
              <c:numCache>
                <c:formatCode>General</c:formatCode>
                <c:ptCount val="8"/>
                <c:pt idx="0">
                  <c:v>0.26839152956332696</c:v>
                </c:pt>
                <c:pt idx="1">
                  <c:v>0.31121623303871532</c:v>
                </c:pt>
                <c:pt idx="2">
                  <c:v>0.25401341190814875</c:v>
                </c:pt>
                <c:pt idx="3">
                  <c:v>0.23645692937031518</c:v>
                </c:pt>
                <c:pt idx="4">
                  <c:v>0.22267251553140799</c:v>
                </c:pt>
                <c:pt idx="5">
                  <c:v>0.1652701340340787</c:v>
                </c:pt>
                <c:pt idx="6">
                  <c:v>0.15440438508453641</c:v>
                </c:pt>
                <c:pt idx="7">
                  <c:v>0.13353809174066902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A91-374C-A271-9ACFC37E83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9752592"/>
        <c:axId val="465718687"/>
      </c:scatterChart>
      <c:valAx>
        <c:axId val="509752592"/>
        <c:scaling>
          <c:orientation val="minMax"/>
          <c:max val="256"/>
          <c:min val="3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%">
                    <a:solidFill>
                      <a:schemeClr val="tx1">
                        <a:lumMod val="65%"/>
                        <a:lumOff val="35%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Nombres de threads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%">
                  <a:solidFill>
                    <a:schemeClr val="tx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65718687"/>
        <c:crosses val="autoZero"/>
        <c:crossBetween val="midCat"/>
      </c:valAx>
      <c:valAx>
        <c:axId val="4657186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%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%">
                    <a:solidFill>
                      <a:sysClr val="windowText" lastClr="000000">
                        <a:lumMod val="65%"/>
                        <a:lumOff val="35%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 sz="1000" b="0" i="0" u="none" strike="noStrike" kern="1200" baseline="0%">
                    <a:solidFill>
                      <a:sysClr val="windowText" lastClr="000000">
                        <a:lumMod val="65%"/>
                        <a:lumOff val="35%"/>
                      </a:sysClr>
                    </a:solidFill>
                  </a:rPr>
                  <a:t>Speedup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%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%">
                  <a:solidFill>
                    <a:sysClr val="windowText" lastClr="000000">
                      <a:lumMod val="65%"/>
                      <a:lumOff val="35%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097525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Efficience Version 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Feuil1!$B$89</c:f>
              <c:strCache>
                <c:ptCount val="1"/>
                <c:pt idx="0">
                  <c:v>18 villes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Feuil1!$A$100:$A$107</c:f>
              <c:numCache>
                <c:formatCode>General</c:formatCode>
                <c:ptCount val="8"/>
                <c:pt idx="0">
                  <c:v>32</c:v>
                </c:pt>
                <c:pt idx="1">
                  <c:v>64</c:v>
                </c:pt>
                <c:pt idx="2">
                  <c:v>96</c:v>
                </c:pt>
                <c:pt idx="3">
                  <c:v>128</c:v>
                </c:pt>
                <c:pt idx="4">
                  <c:v>160</c:v>
                </c:pt>
                <c:pt idx="5">
                  <c:v>192</c:v>
                </c:pt>
                <c:pt idx="6">
                  <c:v>224</c:v>
                </c:pt>
                <c:pt idx="7">
                  <c:v>256</c:v>
                </c:pt>
              </c:numCache>
            </c:numRef>
          </c:xVal>
          <c:yVal>
            <c:numRef>
              <c:f>Feuil1!$B$100:$B$107</c:f>
              <c:numCache>
                <c:formatCode>General</c:formatCode>
                <c:ptCount val="8"/>
                <c:pt idx="0">
                  <c:v>0.68644326178507753</c:v>
                </c:pt>
                <c:pt idx="1">
                  <c:v>0.56264579277782456</c:v>
                </c:pt>
                <c:pt idx="2">
                  <c:v>0.45669547720950737</c:v>
                </c:pt>
                <c:pt idx="3">
                  <c:v>0.42715999431364615</c:v>
                </c:pt>
                <c:pt idx="4">
                  <c:v>0.3640264941394647</c:v>
                </c:pt>
                <c:pt idx="5">
                  <c:v>0.31446654800460155</c:v>
                </c:pt>
                <c:pt idx="6">
                  <c:v>0.23976219273228239</c:v>
                </c:pt>
                <c:pt idx="7">
                  <c:v>0.22306132937414344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3B9-1F48-91C6-F1E3B6572D58}"/>
            </c:ext>
          </c:extLst>
        </c:ser>
        <c:ser>
          <c:idx val="1"/>
          <c:order val="1"/>
          <c:tx>
            <c:strRef>
              <c:f>Feuil1!$C$89</c:f>
              <c:strCache>
                <c:ptCount val="1"/>
                <c:pt idx="0">
                  <c:v>17 villes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Feuil1!$A$100:$A$107</c:f>
              <c:numCache>
                <c:formatCode>General</c:formatCode>
                <c:ptCount val="8"/>
                <c:pt idx="0">
                  <c:v>32</c:v>
                </c:pt>
                <c:pt idx="1">
                  <c:v>64</c:v>
                </c:pt>
                <c:pt idx="2">
                  <c:v>96</c:v>
                </c:pt>
                <c:pt idx="3">
                  <c:v>128</c:v>
                </c:pt>
                <c:pt idx="4">
                  <c:v>160</c:v>
                </c:pt>
                <c:pt idx="5">
                  <c:v>192</c:v>
                </c:pt>
                <c:pt idx="6">
                  <c:v>224</c:v>
                </c:pt>
                <c:pt idx="7">
                  <c:v>256</c:v>
                </c:pt>
              </c:numCache>
            </c:numRef>
          </c:xVal>
          <c:yVal>
            <c:numRef>
              <c:f>Feuil1!$C$100:$C$107</c:f>
              <c:numCache>
                <c:formatCode>General</c:formatCode>
                <c:ptCount val="8"/>
                <c:pt idx="0">
                  <c:v>0.30253280464044985</c:v>
                </c:pt>
                <c:pt idx="1">
                  <c:v>0.2820885080902984</c:v>
                </c:pt>
                <c:pt idx="2">
                  <c:v>0.22249811989088694</c:v>
                </c:pt>
                <c:pt idx="3">
                  <c:v>0.22300057682815874</c:v>
                </c:pt>
                <c:pt idx="4">
                  <c:v>0.16484512800224188</c:v>
                </c:pt>
                <c:pt idx="5">
                  <c:v>0.12062318763660575</c:v>
                </c:pt>
                <c:pt idx="6">
                  <c:v>0.10867021704340216</c:v>
                </c:pt>
                <c:pt idx="7">
                  <c:v>9.4999240006079955E-2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3B9-1F48-91C6-F1E3B6572D58}"/>
            </c:ext>
          </c:extLst>
        </c:ser>
        <c:ser>
          <c:idx val="2"/>
          <c:order val="2"/>
          <c:tx>
            <c:strRef>
              <c:f>Feuil1!$D$89</c:f>
              <c:strCache>
                <c:ptCount val="1"/>
                <c:pt idx="0">
                  <c:v>16 villes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Feuil1!$A$100:$A$107</c:f>
              <c:numCache>
                <c:formatCode>General</c:formatCode>
                <c:ptCount val="8"/>
                <c:pt idx="0">
                  <c:v>32</c:v>
                </c:pt>
                <c:pt idx="1">
                  <c:v>64</c:v>
                </c:pt>
                <c:pt idx="2">
                  <c:v>96</c:v>
                </c:pt>
                <c:pt idx="3">
                  <c:v>128</c:v>
                </c:pt>
                <c:pt idx="4">
                  <c:v>160</c:v>
                </c:pt>
                <c:pt idx="5">
                  <c:v>192</c:v>
                </c:pt>
                <c:pt idx="6">
                  <c:v>224</c:v>
                </c:pt>
                <c:pt idx="7">
                  <c:v>256</c:v>
                </c:pt>
              </c:numCache>
            </c:numRef>
          </c:xVal>
          <c:yVal>
            <c:numRef>
              <c:f>Feuil1!$D$100:$D$107</c:f>
              <c:numCache>
                <c:formatCode>General</c:formatCode>
                <c:ptCount val="8"/>
                <c:pt idx="0">
                  <c:v>1.5417981477864919</c:v>
                </c:pt>
                <c:pt idx="1">
                  <c:v>1.1449682462139716</c:v>
                </c:pt>
                <c:pt idx="2">
                  <c:v>0.79256887423517097</c:v>
                </c:pt>
                <c:pt idx="3">
                  <c:v>0.61567256070531451</c:v>
                </c:pt>
                <c:pt idx="4">
                  <c:v>0.41732743510558379</c:v>
                </c:pt>
                <c:pt idx="5">
                  <c:v>0.34221729429318443</c:v>
                </c:pt>
                <c:pt idx="6">
                  <c:v>0.2655403037072967</c:v>
                </c:pt>
                <c:pt idx="7">
                  <c:v>0.22171506952984582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3B9-1F48-91C6-F1E3B6572D58}"/>
            </c:ext>
          </c:extLst>
        </c:ser>
        <c:ser>
          <c:idx val="3"/>
          <c:order val="3"/>
          <c:tx>
            <c:strRef>
              <c:f>Feuil1!$E$89</c:f>
              <c:strCache>
                <c:ptCount val="1"/>
                <c:pt idx="0">
                  <c:v>15 villes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Feuil1!$A$100:$A$107</c:f>
              <c:numCache>
                <c:formatCode>General</c:formatCode>
                <c:ptCount val="8"/>
                <c:pt idx="0">
                  <c:v>32</c:v>
                </c:pt>
                <c:pt idx="1">
                  <c:v>64</c:v>
                </c:pt>
                <c:pt idx="2">
                  <c:v>96</c:v>
                </c:pt>
                <c:pt idx="3">
                  <c:v>128</c:v>
                </c:pt>
                <c:pt idx="4">
                  <c:v>160</c:v>
                </c:pt>
                <c:pt idx="5">
                  <c:v>192</c:v>
                </c:pt>
                <c:pt idx="6">
                  <c:v>224</c:v>
                </c:pt>
                <c:pt idx="7">
                  <c:v>256</c:v>
                </c:pt>
              </c:numCache>
            </c:numRef>
          </c:xVal>
          <c:yVal>
            <c:numRef>
              <c:f>Feuil1!$E$100:$E$107</c:f>
              <c:numCache>
                <c:formatCode>General</c:formatCode>
                <c:ptCount val="8"/>
                <c:pt idx="0">
                  <c:v>8.3872352988539674E-3</c:v>
                </c:pt>
                <c:pt idx="1">
                  <c:v>4.8627536412299268E-3</c:v>
                </c:pt>
                <c:pt idx="2">
                  <c:v>2.6459730407098828E-3</c:v>
                </c:pt>
                <c:pt idx="3">
                  <c:v>1.8473197607055873E-3</c:v>
                </c:pt>
                <c:pt idx="4">
                  <c:v>1.3917032220712999E-3</c:v>
                </c:pt>
                <c:pt idx="5">
                  <c:v>8.6078194809415985E-4</c:v>
                </c:pt>
                <c:pt idx="6">
                  <c:v>6.8930529055596609E-4</c:v>
                </c:pt>
                <c:pt idx="7">
                  <c:v>5.2163317086198837E-4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3B9-1F48-91C6-F1E3B6572D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9752592"/>
        <c:axId val="465718687"/>
      </c:scatterChart>
      <c:valAx>
        <c:axId val="509752592"/>
        <c:scaling>
          <c:orientation val="minMax"/>
          <c:max val="256"/>
          <c:min val="3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%">
                    <a:solidFill>
                      <a:schemeClr val="tx1">
                        <a:lumMod val="65%"/>
                        <a:lumOff val="35%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Nombres de threads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%">
                  <a:solidFill>
                    <a:schemeClr val="tx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65718687"/>
        <c:crosses val="autoZero"/>
        <c:crossBetween val="midCat"/>
      </c:valAx>
      <c:valAx>
        <c:axId val="4657186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%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%">
                    <a:solidFill>
                      <a:sysClr val="windowText" lastClr="000000">
                        <a:lumMod val="65%"/>
                        <a:lumOff val="35%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 sz="1000" b="0" i="0" u="none" strike="noStrike" kern="1200" baseline="0%">
                    <a:solidFill>
                      <a:sysClr val="windowText" lastClr="000000">
                        <a:lumMod val="65%"/>
                        <a:lumOff val="35%"/>
                      </a:sysClr>
                    </a:solidFill>
                  </a:rPr>
                  <a:t>Efficience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%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%">
                  <a:solidFill>
                    <a:sysClr val="windowText" lastClr="000000">
                      <a:lumMod val="65%"/>
                      <a:lumOff val="35%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097525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colors2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colors3.xml><?xml version="1.0" encoding="utf-8"?>
<cs:colorStyle xmlns:cs="http://schemas.microsoft.com/office/drawing/2012/chartStyle" xmlns:a="http://purl.oclc.org/ooxml/drawingml/main" meth="withinLinear" id="14">
  <a:schemeClr val="accent1"/>
</cs:colorStyle>
</file>

<file path=xl/charts/colors4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colors5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colors6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colors7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colors8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colors9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colors10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colors11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colors12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colors13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style1.xml><?xml version="1.0" encoding="utf-8"?>
<cs:chartStyle xmlns:cs="http://schemas.microsoft.com/office/drawing/2012/chartStyle" xmlns:a="http://purl.oclc.org/ooxml/drawingml/main" id="240">
  <cs:axisTitle>
    <cs:lnRef idx="0"/>
    <cs:fillRef idx="0"/>
    <cs:effectRef idx="0"/>
    <cs:fontRef idx="minor">
      <a:schemeClr val="tx1">
        <a:lumMod val="65%"/>
        <a:lumOff val="35%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%"/>
        <a:lumOff val="25%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noFill/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%"/>
          <a:lumOff val="25%"/>
        </a:schemeClr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%"/>
            <a:lumOff val="9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%"/>
            <a:lumOff val="50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 b="0" kern="1200" spc="0" baseline="0%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purl.oclc.org/ooxml/drawingml/main" id="240">
  <cs:axisTitle>
    <cs:lnRef idx="0"/>
    <cs:fillRef idx="0"/>
    <cs:effectRef idx="0"/>
    <cs:fontRef idx="minor">
      <a:schemeClr val="tx1">
        <a:lumMod val="65%"/>
        <a:lumOff val="35%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%"/>
        <a:lumOff val="25%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noFill/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%"/>
          <a:lumOff val="25%"/>
        </a:schemeClr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%"/>
            <a:lumOff val="9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%"/>
            <a:lumOff val="50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 b="0" kern="1200" spc="0" baseline="0%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purl.oclc.org/ooxml/drawingml/main" id="240">
  <cs:axisTitle>
    <cs:lnRef idx="0"/>
    <cs:fillRef idx="0"/>
    <cs:effectRef idx="0"/>
    <cs:fontRef idx="minor">
      <a:schemeClr val="tx1">
        <a:lumMod val="65%"/>
        <a:lumOff val="35%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%"/>
        <a:lumOff val="25%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noFill/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%"/>
          <a:lumOff val="25%"/>
        </a:schemeClr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%"/>
            <a:lumOff val="9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%"/>
            <a:lumOff val="50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 b="0" kern="1200" spc="0" baseline="0%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purl.oclc.org/ooxml/drawingml/main" id="240">
  <cs:axisTitle>
    <cs:lnRef idx="0"/>
    <cs:fillRef idx="0"/>
    <cs:effectRef idx="0"/>
    <cs:fontRef idx="minor">
      <a:schemeClr val="tx1">
        <a:lumMod val="65%"/>
        <a:lumOff val="35%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%"/>
        <a:lumOff val="25%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noFill/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%"/>
          <a:lumOff val="25%"/>
        </a:schemeClr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%"/>
            <a:lumOff val="9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%"/>
            <a:lumOff val="50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 b="0" kern="1200" spc="0" baseline="0%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purl.oclc.org/ooxml/drawingml/main" id="240">
  <cs:axisTitle>
    <cs:lnRef idx="0"/>
    <cs:fillRef idx="0"/>
    <cs:effectRef idx="0"/>
    <cs:fontRef idx="minor">
      <a:schemeClr val="tx1">
        <a:lumMod val="65%"/>
        <a:lumOff val="35%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%"/>
        <a:lumOff val="25%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noFill/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%"/>
          <a:lumOff val="25%"/>
        </a:schemeClr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%"/>
            <a:lumOff val="9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%"/>
            <a:lumOff val="50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 b="0" kern="1200" spc="0" baseline="0%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purl.oclc.org/ooxml/drawingml/main" id="240">
  <cs:axisTitle>
    <cs:lnRef idx="0"/>
    <cs:fillRef idx="0"/>
    <cs:effectRef idx="0"/>
    <cs:fontRef idx="minor">
      <a:schemeClr val="tx1">
        <a:lumMod val="65%"/>
        <a:lumOff val="35%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%"/>
        <a:lumOff val="25%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noFill/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%"/>
          <a:lumOff val="25%"/>
        </a:schemeClr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%"/>
            <a:lumOff val="9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%"/>
            <a:lumOff val="50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 b="0" kern="1200" spc="0" baseline="0%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purl.oclc.org/ooxml/drawingml/main" id="240">
  <cs:axisTitle>
    <cs:lnRef idx="0"/>
    <cs:fillRef idx="0"/>
    <cs:effectRef idx="0"/>
    <cs:fontRef idx="minor">
      <a:schemeClr val="tx1">
        <a:lumMod val="65%"/>
        <a:lumOff val="35%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%"/>
        <a:lumOff val="25%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noFill/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%"/>
          <a:lumOff val="25%"/>
        </a:schemeClr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%"/>
            <a:lumOff val="9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%"/>
            <a:lumOff val="50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 b="0" kern="1200" spc="0" baseline="0%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purl.oclc.org/ooxml/drawingml/main" id="240">
  <cs:axisTitle>
    <cs:lnRef idx="0"/>
    <cs:fillRef idx="0"/>
    <cs:effectRef idx="0"/>
    <cs:fontRef idx="minor">
      <a:schemeClr val="tx1">
        <a:lumMod val="65%"/>
        <a:lumOff val="35%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%"/>
        <a:lumOff val="25%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noFill/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%"/>
          <a:lumOff val="25%"/>
        </a:schemeClr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%"/>
            <a:lumOff val="9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%"/>
            <a:lumOff val="50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 b="0" kern="1200" spc="0" baseline="0%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purl.oclc.org/ooxml/drawingml/main" id="240">
  <cs:axisTitle>
    <cs:lnRef idx="0"/>
    <cs:fillRef idx="0"/>
    <cs:effectRef idx="0"/>
    <cs:fontRef idx="minor">
      <a:schemeClr val="tx1">
        <a:lumMod val="65%"/>
        <a:lumOff val="35%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%"/>
        <a:lumOff val="25%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noFill/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%"/>
          <a:lumOff val="25%"/>
        </a:schemeClr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%"/>
            <a:lumOff val="9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%"/>
            <a:lumOff val="50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 b="0" kern="1200" spc="0" baseline="0%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purl.oclc.org/ooxml/drawingml/main" id="240">
  <cs:axisTitle>
    <cs:lnRef idx="0"/>
    <cs:fillRef idx="0"/>
    <cs:effectRef idx="0"/>
    <cs:fontRef idx="minor">
      <a:schemeClr val="tx1">
        <a:lumMod val="65%"/>
        <a:lumOff val="35%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%"/>
        <a:lumOff val="25%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noFill/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%"/>
          <a:lumOff val="25%"/>
        </a:schemeClr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%"/>
            <a:lumOff val="9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%"/>
            <a:lumOff val="50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 b="0" kern="1200" spc="0" baseline="0%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purl.oclc.org/ooxml/drawingml/main" id="240">
  <cs:axisTitle>
    <cs:lnRef idx="0"/>
    <cs:fillRef idx="0"/>
    <cs:effectRef idx="0"/>
    <cs:fontRef idx="minor">
      <a:schemeClr val="tx1">
        <a:lumMod val="65%"/>
        <a:lumOff val="35%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%"/>
        <a:lumOff val="25%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noFill/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%"/>
          <a:lumOff val="25%"/>
        </a:schemeClr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%"/>
            <a:lumOff val="9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%"/>
            <a:lumOff val="50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 b="0" kern="1200" spc="0" baseline="0%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purl.oclc.org/ooxml/drawingml/main" id="240">
  <cs:axisTitle>
    <cs:lnRef idx="0"/>
    <cs:fillRef idx="0"/>
    <cs:effectRef idx="0"/>
    <cs:fontRef idx="minor">
      <a:schemeClr val="tx1">
        <a:lumMod val="65%"/>
        <a:lumOff val="35%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%"/>
        <a:lumOff val="25%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noFill/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%"/>
          <a:lumOff val="25%"/>
        </a:schemeClr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%"/>
            <a:lumOff val="9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%"/>
            <a:lumOff val="50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 b="0" kern="1200" spc="0" baseline="0%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purl.oclc.org/ooxml/drawingml/main" id="240">
  <cs:axisTitle>
    <cs:lnRef idx="0"/>
    <cs:fillRef idx="0"/>
    <cs:effectRef idx="0"/>
    <cs:fontRef idx="minor">
      <a:schemeClr val="tx1">
        <a:lumMod val="65%"/>
        <a:lumOff val="35%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%"/>
        <a:lumOff val="25%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noFill/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%"/>
          <a:lumOff val="25%"/>
        </a:schemeClr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%"/>
            <a:lumOff val="9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%"/>
            <a:lumOff val="50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 b="0" kern="1200" spc="0" baseline="0%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purl.oclc.org/ooxml/officeDocument/relationships/chart" Target="../charts/chart8.xml"/><Relationship Id="rId3" Type="http://purl.oclc.org/ooxml/officeDocument/relationships/chart" Target="../charts/chart3.xml"/><Relationship Id="rId7" Type="http://purl.oclc.org/ooxml/officeDocument/relationships/chart" Target="../charts/chart7.xml"/><Relationship Id="rId2" Type="http://purl.oclc.org/ooxml/officeDocument/relationships/chart" Target="../charts/chart2.xml"/><Relationship Id="rId1" Type="http://purl.oclc.org/ooxml/officeDocument/relationships/chart" Target="../charts/chart1.xml"/><Relationship Id="rId6" Type="http://purl.oclc.org/ooxml/officeDocument/relationships/chart" Target="../charts/chart6.xml"/><Relationship Id="rId5" Type="http://purl.oclc.org/ooxml/officeDocument/relationships/chart" Target="../charts/chart5.xml"/><Relationship Id="rId4" Type="http://purl.oclc.org/ooxml/officeDocument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purl.oclc.org/ooxml/officeDocument/relationships/chart" Target="../charts/chart11.xml"/><Relationship Id="rId2" Type="http://purl.oclc.org/ooxml/officeDocument/relationships/chart" Target="../charts/chart10.xml"/><Relationship Id="rId1" Type="http://purl.oclc.org/ooxml/officeDocument/relationships/chart" Target="../charts/chart9.xml"/><Relationship Id="rId5" Type="http://purl.oclc.org/ooxml/officeDocument/relationships/chart" Target="../charts/chart13.xml"/><Relationship Id="rId4" Type="http://purl.oclc.org/ooxml/officeDocument/relationships/chart" Target="../charts/chart12.xml"/></Relationships>
</file>

<file path=xl/drawings/drawing1.xml><?xml version="1.0" encoding="utf-8"?>
<xdr:wsDr xmlns:xdr="http://purl.oclc.org/ooxml/drawingml/spreadsheetDrawing" xmlns:a="http://purl.oclc.org/ooxml/drawingml/main">
  <xdr:twoCellAnchor>
    <xdr:from>
      <xdr:col>11</xdr:col>
      <xdr:colOff>14596</xdr:colOff>
      <xdr:row>73</xdr:row>
      <xdr:rowOff>32799</xdr:rowOff>
    </xdr:from>
    <xdr:to>
      <xdr:col>19</xdr:col>
      <xdr:colOff>818288</xdr:colOff>
      <xdr:row>97</xdr:row>
      <xdr:rowOff>14598</xdr:rowOff>
    </xdr:to>
    <xdr:graphicFrame macro="">
      <xdr:nvGraphicFramePr>
        <xdr:cNvPr id="6" name="Graphique 5">
          <a:extLst>
            <a:ext uri="{FF2B5EF4-FFF2-40B4-BE49-F238E27FC236}">
              <a16:creationId xmlns:a16="http://schemas.microsoft.com/office/drawing/2014/main" id="{52E92A69-5CC6-BD54-AC09-7EE7435697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1"/>
        </a:graphicData>
      </a:graphic>
    </xdr:graphicFrame>
    <xdr:clientData/>
  </xdr:twoCellAnchor>
  <xdr:twoCellAnchor>
    <xdr:from>
      <xdr:col>8</xdr:col>
      <xdr:colOff>291910</xdr:colOff>
      <xdr:row>2</xdr:row>
      <xdr:rowOff>59519</xdr:rowOff>
    </xdr:from>
    <xdr:to>
      <xdr:col>14</xdr:col>
      <xdr:colOff>796118</xdr:colOff>
      <xdr:row>17</xdr:row>
      <xdr:rowOff>75820</xdr:rowOff>
    </xdr:to>
    <xdr:graphicFrame macro="">
      <xdr:nvGraphicFramePr>
        <xdr:cNvPr id="7" name="Graphique 6">
          <a:extLst>
            <a:ext uri="{FF2B5EF4-FFF2-40B4-BE49-F238E27FC236}">
              <a16:creationId xmlns:a16="http://schemas.microsoft.com/office/drawing/2014/main" id="{7D13FA0E-7652-1B49-4E34-7A5B09DD28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2"/>
        </a:graphicData>
      </a:graphic>
    </xdr:graphicFrame>
    <xdr:clientData/>
  </xdr:twoCellAnchor>
  <xdr:twoCellAnchor>
    <xdr:from>
      <xdr:col>13</xdr:col>
      <xdr:colOff>10162</xdr:colOff>
      <xdr:row>18</xdr:row>
      <xdr:rowOff>172720</xdr:rowOff>
    </xdr:from>
    <xdr:to>
      <xdr:col>22</xdr:col>
      <xdr:colOff>0</xdr:colOff>
      <xdr:row>40</xdr:row>
      <xdr:rowOff>71120</xdr:rowOff>
    </xdr:to>
    <xdr:graphicFrame macro="">
      <xdr:nvGraphicFramePr>
        <xdr:cNvPr id="8" name="Graphique 7">
          <a:extLst>
            <a:ext uri="{FF2B5EF4-FFF2-40B4-BE49-F238E27FC236}">
              <a16:creationId xmlns:a16="http://schemas.microsoft.com/office/drawing/2014/main" id="{277CB73E-8670-576E-E0D2-7EB2090F6D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3"/>
        </a:graphicData>
      </a:graphic>
    </xdr:graphicFrame>
    <xdr:clientData/>
  </xdr:twoCellAnchor>
  <xdr:twoCellAnchor>
    <xdr:from>
      <xdr:col>20</xdr:col>
      <xdr:colOff>45691</xdr:colOff>
      <xdr:row>72</xdr:row>
      <xdr:rowOff>175173</xdr:rowOff>
    </xdr:from>
    <xdr:to>
      <xdr:col>29</xdr:col>
      <xdr:colOff>72989</xdr:colOff>
      <xdr:row>97</xdr:row>
      <xdr:rowOff>0</xdr:rowOff>
    </xdr:to>
    <xdr:graphicFrame macro="">
      <xdr:nvGraphicFramePr>
        <xdr:cNvPr id="9" name="Graphique 8">
          <a:extLst>
            <a:ext uri="{FF2B5EF4-FFF2-40B4-BE49-F238E27FC236}">
              <a16:creationId xmlns:a16="http://schemas.microsoft.com/office/drawing/2014/main" id="{ADAB1FF3-5F2E-B246-9878-86D5532DC9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4"/>
        </a:graphicData>
      </a:graphic>
    </xdr:graphicFrame>
    <xdr:clientData/>
  </xdr:twoCellAnchor>
  <xdr:twoCellAnchor>
    <xdr:from>
      <xdr:col>10</xdr:col>
      <xdr:colOff>812036</xdr:colOff>
      <xdr:row>98</xdr:row>
      <xdr:rowOff>2865</xdr:rowOff>
    </xdr:from>
    <xdr:to>
      <xdr:col>19</xdr:col>
      <xdr:colOff>817471</xdr:colOff>
      <xdr:row>121</xdr:row>
      <xdr:rowOff>116780</xdr:rowOff>
    </xdr:to>
    <xdr:graphicFrame macro="">
      <xdr:nvGraphicFramePr>
        <xdr:cNvPr id="10" name="Graphique 9">
          <a:extLst>
            <a:ext uri="{FF2B5EF4-FFF2-40B4-BE49-F238E27FC236}">
              <a16:creationId xmlns:a16="http://schemas.microsoft.com/office/drawing/2014/main" id="{FDD83F00-7018-2989-5CD4-504474B53A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5"/>
        </a:graphicData>
      </a:graphic>
    </xdr:graphicFrame>
    <xdr:clientData/>
  </xdr:twoCellAnchor>
  <xdr:twoCellAnchor>
    <xdr:from>
      <xdr:col>10</xdr:col>
      <xdr:colOff>812800</xdr:colOff>
      <xdr:row>123</xdr:row>
      <xdr:rowOff>0</xdr:rowOff>
    </xdr:from>
    <xdr:to>
      <xdr:col>19</xdr:col>
      <xdr:colOff>818235</xdr:colOff>
      <xdr:row>146</xdr:row>
      <xdr:rowOff>113915</xdr:rowOff>
    </xdr:to>
    <xdr:graphicFrame macro="">
      <xdr:nvGraphicFramePr>
        <xdr:cNvPr id="12" name="Graphique 11">
          <a:extLst>
            <a:ext uri="{FF2B5EF4-FFF2-40B4-BE49-F238E27FC236}">
              <a16:creationId xmlns:a16="http://schemas.microsoft.com/office/drawing/2014/main" id="{3139F343-F54D-224C-8B3C-4EBED5C15F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6"/>
        </a:graphicData>
      </a:graphic>
    </xdr:graphicFrame>
    <xdr:clientData/>
  </xdr:twoCellAnchor>
  <xdr:twoCellAnchor>
    <xdr:from>
      <xdr:col>20</xdr:col>
      <xdr:colOff>67733</xdr:colOff>
      <xdr:row>97</xdr:row>
      <xdr:rowOff>118533</xdr:rowOff>
    </xdr:from>
    <xdr:to>
      <xdr:col>29</xdr:col>
      <xdr:colOff>155489</xdr:colOff>
      <xdr:row>121</xdr:row>
      <xdr:rowOff>32028</xdr:rowOff>
    </xdr:to>
    <xdr:graphicFrame macro="">
      <xdr:nvGraphicFramePr>
        <xdr:cNvPr id="14" name="Graphique 13">
          <a:extLst>
            <a:ext uri="{FF2B5EF4-FFF2-40B4-BE49-F238E27FC236}">
              <a16:creationId xmlns:a16="http://schemas.microsoft.com/office/drawing/2014/main" id="{3E3F6E52-10F2-DF42-8720-867E179DFD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7"/>
        </a:graphicData>
      </a:graphic>
    </xdr:graphicFrame>
    <xdr:clientData/>
  </xdr:twoCellAnchor>
  <xdr:twoCellAnchor>
    <xdr:from>
      <xdr:col>20</xdr:col>
      <xdr:colOff>114072</xdr:colOff>
      <xdr:row>121</xdr:row>
      <xdr:rowOff>192643</xdr:rowOff>
    </xdr:from>
    <xdr:to>
      <xdr:col>29</xdr:col>
      <xdr:colOff>201828</xdr:colOff>
      <xdr:row>145</xdr:row>
      <xdr:rowOff>106138</xdr:rowOff>
    </xdr:to>
    <xdr:graphicFrame macro="">
      <xdr:nvGraphicFramePr>
        <xdr:cNvPr id="15" name="Graphique 14">
          <a:extLst>
            <a:ext uri="{FF2B5EF4-FFF2-40B4-BE49-F238E27FC236}">
              <a16:creationId xmlns:a16="http://schemas.microsoft.com/office/drawing/2014/main" id="{9EAC99A3-4275-724F-93A0-D5CB8A60A9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8"/>
        </a:graphicData>
      </a:graphic>
    </xdr:graphicFrame>
    <xdr:clientData/>
  </xdr:twoCellAnchor>
</xdr:wsDr>
</file>

<file path=xl/drawings/drawing2.xml><?xml version="1.0" encoding="utf-8"?>
<xdr:wsDr xmlns:xdr="http://purl.oclc.org/ooxml/drawingml/spreadsheetDrawing" xmlns:a="http://purl.oclc.org/ooxml/drawingml/main">
  <xdr:twoCellAnchor>
    <xdr:from>
      <xdr:col>11</xdr:col>
      <xdr:colOff>14780</xdr:colOff>
      <xdr:row>70</xdr:row>
      <xdr:rowOff>1613</xdr:rowOff>
    </xdr:from>
    <xdr:to>
      <xdr:col>18</xdr:col>
      <xdr:colOff>149719</xdr:colOff>
      <xdr:row>88</xdr:row>
      <xdr:rowOff>110853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865E8199-86FF-05FF-DF11-FE12A509E6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1"/>
        </a:graphicData>
      </a:graphic>
    </xdr:graphicFrame>
    <xdr:clientData/>
  </xdr:twoCellAnchor>
  <xdr:twoCellAnchor>
    <xdr:from>
      <xdr:col>14</xdr:col>
      <xdr:colOff>25400</xdr:colOff>
      <xdr:row>5</xdr:row>
      <xdr:rowOff>12700</xdr:rowOff>
    </xdr:from>
    <xdr:to>
      <xdr:col>19</xdr:col>
      <xdr:colOff>469900</xdr:colOff>
      <xdr:row>18</xdr:row>
      <xdr:rowOff>114300</xdr:rowOff>
    </xdr:to>
    <xdr:graphicFrame macro="">
      <xdr:nvGraphicFramePr>
        <xdr:cNvPr id="5" name="Graphique 4">
          <a:extLst>
            <a:ext uri="{FF2B5EF4-FFF2-40B4-BE49-F238E27FC236}">
              <a16:creationId xmlns:a16="http://schemas.microsoft.com/office/drawing/2014/main" id="{1EDF4762-8C1D-487E-6A58-E295CD288A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2"/>
        </a:graphicData>
      </a:graphic>
    </xdr:graphicFrame>
    <xdr:clientData/>
  </xdr:twoCellAnchor>
  <xdr:twoCellAnchor>
    <xdr:from>
      <xdr:col>14</xdr:col>
      <xdr:colOff>62405</xdr:colOff>
      <xdr:row>20</xdr:row>
      <xdr:rowOff>29779</xdr:rowOff>
    </xdr:from>
    <xdr:to>
      <xdr:col>19</xdr:col>
      <xdr:colOff>528802</xdr:colOff>
      <xdr:row>33</xdr:row>
      <xdr:rowOff>68755</xdr:rowOff>
    </xdr:to>
    <xdr:graphicFrame macro="">
      <xdr:nvGraphicFramePr>
        <xdr:cNvPr id="6" name="Graphique 5">
          <a:extLst>
            <a:ext uri="{FF2B5EF4-FFF2-40B4-BE49-F238E27FC236}">
              <a16:creationId xmlns:a16="http://schemas.microsoft.com/office/drawing/2014/main" id="{33020D24-0EE2-0006-0A78-0045DE698C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3"/>
        </a:graphicData>
      </a:graphic>
    </xdr:graphicFrame>
    <xdr:clientData/>
  </xdr:twoCellAnchor>
  <xdr:twoCellAnchor>
    <xdr:from>
      <xdr:col>10</xdr:col>
      <xdr:colOff>810172</xdr:colOff>
      <xdr:row>89</xdr:row>
      <xdr:rowOff>10950</xdr:rowOff>
    </xdr:from>
    <xdr:to>
      <xdr:col>20</xdr:col>
      <xdr:colOff>95760</xdr:colOff>
      <xdr:row>112</xdr:row>
      <xdr:rowOff>46129</xdr:rowOff>
    </xdr:to>
    <xdr:graphicFrame macro="">
      <xdr:nvGraphicFramePr>
        <xdr:cNvPr id="10" name="Graphique 9">
          <a:extLst>
            <a:ext uri="{FF2B5EF4-FFF2-40B4-BE49-F238E27FC236}">
              <a16:creationId xmlns:a16="http://schemas.microsoft.com/office/drawing/2014/main" id="{5C1A90F9-1CCF-DC46-9BF3-F3101AB6C8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4"/>
        </a:graphicData>
      </a:graphic>
    </xdr:graphicFrame>
    <xdr:clientData/>
  </xdr:twoCellAnchor>
  <xdr:twoCellAnchor>
    <xdr:from>
      <xdr:col>11</xdr:col>
      <xdr:colOff>29534</xdr:colOff>
      <xdr:row>113</xdr:row>
      <xdr:rowOff>0</xdr:rowOff>
    </xdr:from>
    <xdr:to>
      <xdr:col>20</xdr:col>
      <xdr:colOff>142099</xdr:colOff>
      <xdr:row>136</xdr:row>
      <xdr:rowOff>35179</xdr:rowOff>
    </xdr:to>
    <xdr:graphicFrame macro="">
      <xdr:nvGraphicFramePr>
        <xdr:cNvPr id="12" name="Graphique 11">
          <a:extLst>
            <a:ext uri="{FF2B5EF4-FFF2-40B4-BE49-F238E27FC236}">
              <a16:creationId xmlns:a16="http://schemas.microsoft.com/office/drawing/2014/main" id="{E91631AC-3F3B-4E44-8A81-5C499DDBDD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5"/>
        </a:graphicData>
      </a:graphic>
    </xdr:graphicFrame>
    <xdr:clientData/>
  </xdr:twoCellAnchor>
</xdr:wsDr>
</file>

<file path=xl/theme/theme1.xml><?xml version="1.0" encoding="utf-8"?>
<a:theme xmlns:a="http://purl.oclc.org/ooxml/drawingml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%">
              <a:schemeClr val="phClr">
                <a:lumMod val="110%"/>
                <a:satMod val="105%"/>
                <a:tint val="67%"/>
              </a:schemeClr>
            </a:gs>
            <a:gs pos="50%">
              <a:schemeClr val="phClr">
                <a:lumMod val="105%"/>
                <a:satMod val="103%"/>
                <a:tint val="73%"/>
              </a:schemeClr>
            </a:gs>
            <a:gs pos="100%">
              <a:schemeClr val="phClr">
                <a:lumMod val="105%"/>
                <a:satMod val="109%"/>
                <a:tint val="81%"/>
              </a:schemeClr>
            </a:gs>
          </a:gsLst>
          <a:lin ang="5400000" scaled="0"/>
        </a:gradFill>
        <a:gradFill rotWithShape="1">
          <a:gsLst>
            <a:gs pos="0%">
              <a:schemeClr val="phClr">
                <a:satMod val="103%"/>
                <a:lumMod val="102%"/>
                <a:tint val="94%"/>
              </a:schemeClr>
            </a:gs>
            <a:gs pos="50%">
              <a:schemeClr val="phClr">
                <a:satMod val="110%"/>
                <a:lumMod val="100%"/>
                <a:shade val="100%"/>
              </a:schemeClr>
            </a:gs>
            <a:gs pos="100%">
              <a:schemeClr val="phClr">
                <a:lumMod val="99%"/>
                <a:satMod val="120%"/>
                <a:shade val="78%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%"/>
        </a:ln>
        <a:ln w="19050" cap="flat" cmpd="sng" algn="ctr">
          <a:solidFill>
            <a:schemeClr val="phClr"/>
          </a:solidFill>
          <a:prstDash val="solid"/>
          <a:miter lim="800%"/>
        </a:ln>
        <a:ln w="25400" cap="flat" cmpd="sng" algn="ctr">
          <a:solidFill>
            <a:schemeClr val="phClr"/>
          </a:solidFill>
          <a:prstDash val="solid"/>
          <a:miter lim="800%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%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%"/>
            <a:satMod val="170%"/>
          </a:schemeClr>
        </a:solidFill>
        <a:gradFill rotWithShape="1">
          <a:gsLst>
            <a:gs pos="0%">
              <a:schemeClr val="phClr">
                <a:tint val="93%"/>
                <a:satMod val="150%"/>
                <a:shade val="98%"/>
                <a:lumMod val="102%"/>
              </a:schemeClr>
            </a:gs>
            <a:gs pos="50%">
              <a:schemeClr val="phClr">
                <a:tint val="98%"/>
                <a:satMod val="130%"/>
                <a:shade val="90%"/>
                <a:lumMod val="103%"/>
              </a:schemeClr>
            </a:gs>
            <a:gs pos="100%">
              <a:schemeClr val="phClr">
                <a:shade val="63%"/>
                <a:satMod val="120%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purl.oclc.org/ooxml/officeDocument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purl.oclc.org/ooxml/officeDocument/relationships/drawing" Target="../drawings/drawing2.xml"/></Relationships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EA5267-4F29-444E-875C-A0255589E666}">
  <dimension ref="A1:S130"/>
  <sheetViews>
    <sheetView tabSelected="1" topLeftCell="A75" zoomScale="115" workbookViewId="0">
      <selection activeCell="I128" sqref="I128"/>
    </sheetView>
  </sheetViews>
  <sheetFormatPr baseColWidth="10" defaultRowHeight="16" x14ac:dyDescent="0.2"/>
  <cols>
    <col min="2" max="2" width="12.5" bestFit="1" customWidth="1"/>
  </cols>
  <sheetData>
    <row r="1" spans="1:7" x14ac:dyDescent="0.2">
      <c r="A1" t="s">
        <v>0</v>
      </c>
      <c r="B1" t="s">
        <v>1</v>
      </c>
      <c r="C1" t="s">
        <v>2</v>
      </c>
      <c r="D1" t="s">
        <v>10</v>
      </c>
    </row>
    <row r="2" spans="1:7" x14ac:dyDescent="0.2">
      <c r="A2">
        <v>10</v>
      </c>
      <c r="B2">
        <v>32</v>
      </c>
      <c r="C2">
        <v>51.9</v>
      </c>
      <c r="D2">
        <v>0.32490000000000002</v>
      </c>
      <c r="F2">
        <v>10</v>
      </c>
      <c r="G2">
        <f>AVERAGE(D2:D9)</f>
        <v>1.5047999999999999</v>
      </c>
    </row>
    <row r="3" spans="1:7" x14ac:dyDescent="0.2">
      <c r="A3">
        <v>10</v>
      </c>
      <c r="B3">
        <v>64</v>
      </c>
      <c r="C3">
        <v>56.2</v>
      </c>
      <c r="D3">
        <v>0.65229999999999999</v>
      </c>
      <c r="F3">
        <v>11</v>
      </c>
      <c r="G3">
        <f>AVERAGE(D10:D17)</f>
        <v>2.6855250000000002</v>
      </c>
    </row>
    <row r="4" spans="1:7" x14ac:dyDescent="0.2">
      <c r="A4">
        <v>10</v>
      </c>
      <c r="B4">
        <v>96</v>
      </c>
      <c r="C4">
        <v>62.6</v>
      </c>
      <c r="D4">
        <v>1.1852</v>
      </c>
      <c r="F4">
        <v>12</v>
      </c>
      <c r="G4">
        <f>AVERAGE(D18:D25)</f>
        <v>2.7555624999999999</v>
      </c>
    </row>
    <row r="5" spans="1:7" x14ac:dyDescent="0.2">
      <c r="A5">
        <v>10</v>
      </c>
      <c r="B5">
        <v>128</v>
      </c>
      <c r="C5">
        <v>68.099999999999994</v>
      </c>
      <c r="D5">
        <v>1.8519000000000001</v>
      </c>
      <c r="F5">
        <v>13</v>
      </c>
      <c r="G5">
        <f>AVERAGE(D26:D33)</f>
        <v>2.7350499999999998</v>
      </c>
    </row>
    <row r="6" spans="1:7" x14ac:dyDescent="0.2">
      <c r="A6">
        <v>10</v>
      </c>
      <c r="B6">
        <v>160</v>
      </c>
      <c r="C6">
        <v>78.3</v>
      </c>
      <c r="D6">
        <v>2.1202999999999999</v>
      </c>
      <c r="F6">
        <v>14</v>
      </c>
      <c r="G6">
        <f>AVERAGE(D34:D41)</f>
        <v>2.8054374999999996</v>
      </c>
    </row>
    <row r="7" spans="1:7" x14ac:dyDescent="0.2">
      <c r="A7">
        <v>10</v>
      </c>
      <c r="B7">
        <v>192</v>
      </c>
      <c r="C7">
        <v>88.9</v>
      </c>
      <c r="D7">
        <v>1.9599</v>
      </c>
      <c r="F7">
        <v>15</v>
      </c>
      <c r="G7">
        <f>AVERAGE(D42:D49)</f>
        <v>41.093600000000002</v>
      </c>
    </row>
    <row r="8" spans="1:7" x14ac:dyDescent="0.2">
      <c r="A8">
        <v>10</v>
      </c>
      <c r="B8">
        <v>224</v>
      </c>
      <c r="C8">
        <v>99.1</v>
      </c>
      <c r="D8">
        <v>2.0827</v>
      </c>
      <c r="F8">
        <v>16</v>
      </c>
      <c r="G8">
        <f>AVERAGE(D50:D57)</f>
        <v>30.640462499999998</v>
      </c>
    </row>
    <row r="9" spans="1:7" x14ac:dyDescent="0.2">
      <c r="A9">
        <v>10</v>
      </c>
      <c r="B9">
        <v>256</v>
      </c>
      <c r="C9">
        <v>109.6</v>
      </c>
      <c r="D9">
        <v>1.8612</v>
      </c>
      <c r="F9">
        <v>17</v>
      </c>
      <c r="G9">
        <f>AVERAGE(D58:D65)</f>
        <v>13.549912500000001</v>
      </c>
    </row>
    <row r="10" spans="1:7" x14ac:dyDescent="0.2">
      <c r="A10">
        <v>11</v>
      </c>
      <c r="B10">
        <v>32</v>
      </c>
      <c r="C10">
        <v>105.9</v>
      </c>
      <c r="D10">
        <v>0.31290000000000001</v>
      </c>
      <c r="F10">
        <v>18</v>
      </c>
      <c r="G10">
        <f>AVERAGE(D66:D73)</f>
        <v>4.3822125000000005</v>
      </c>
    </row>
    <row r="11" spans="1:7" x14ac:dyDescent="0.2">
      <c r="A11">
        <v>11</v>
      </c>
      <c r="B11">
        <v>64</v>
      </c>
      <c r="C11">
        <v>114.4</v>
      </c>
      <c r="D11">
        <v>0.67779999999999996</v>
      </c>
    </row>
    <row r="12" spans="1:7" x14ac:dyDescent="0.2">
      <c r="A12">
        <v>11</v>
      </c>
      <c r="B12">
        <v>96</v>
      </c>
      <c r="C12">
        <v>128.80000000000001</v>
      </c>
      <c r="D12">
        <v>1.2009000000000001</v>
      </c>
    </row>
    <row r="13" spans="1:7" x14ac:dyDescent="0.2">
      <c r="A13">
        <v>11</v>
      </c>
      <c r="B13">
        <v>128</v>
      </c>
      <c r="C13">
        <v>140.6</v>
      </c>
      <c r="D13">
        <v>1.8681000000000001</v>
      </c>
    </row>
    <row r="14" spans="1:7" x14ac:dyDescent="0.2">
      <c r="A14">
        <v>11</v>
      </c>
      <c r="B14">
        <v>160</v>
      </c>
      <c r="C14">
        <v>151.5</v>
      </c>
      <c r="D14">
        <v>2.9584999999999999</v>
      </c>
    </row>
    <row r="15" spans="1:7" x14ac:dyDescent="0.2">
      <c r="A15">
        <v>11</v>
      </c>
      <c r="B15">
        <v>192</v>
      </c>
      <c r="C15">
        <v>154.6</v>
      </c>
      <c r="D15">
        <v>4.0785</v>
      </c>
    </row>
    <row r="16" spans="1:7" x14ac:dyDescent="0.2">
      <c r="A16">
        <v>11</v>
      </c>
      <c r="B16">
        <v>224</v>
      </c>
      <c r="C16">
        <v>164.2</v>
      </c>
      <c r="D16">
        <v>4.9824999999999999</v>
      </c>
    </row>
    <row r="17" spans="1:12" x14ac:dyDescent="0.2">
      <c r="A17">
        <v>11</v>
      </c>
      <c r="B17">
        <v>256</v>
      </c>
      <c r="C17">
        <v>176.7</v>
      </c>
      <c r="D17">
        <v>5.4050000000000002</v>
      </c>
    </row>
    <row r="18" spans="1:12" x14ac:dyDescent="0.2">
      <c r="A18">
        <v>12</v>
      </c>
      <c r="B18">
        <v>32</v>
      </c>
      <c r="C18">
        <v>205.6</v>
      </c>
      <c r="D18">
        <v>0.30590000000000001</v>
      </c>
    </row>
    <row r="19" spans="1:12" x14ac:dyDescent="0.2">
      <c r="A19">
        <v>12</v>
      </c>
      <c r="B19">
        <v>64</v>
      </c>
      <c r="C19">
        <v>213.8</v>
      </c>
      <c r="D19">
        <v>0.61529999999999996</v>
      </c>
    </row>
    <row r="20" spans="1:12" x14ac:dyDescent="0.2">
      <c r="A20">
        <v>12</v>
      </c>
      <c r="B20">
        <v>96</v>
      </c>
      <c r="C20">
        <v>237.4</v>
      </c>
      <c r="D20">
        <v>1.1901999999999999</v>
      </c>
      <c r="F20" t="s">
        <v>14</v>
      </c>
      <c r="G20" t="s">
        <v>18</v>
      </c>
      <c r="H20" t="s">
        <v>19</v>
      </c>
      <c r="I20" t="s">
        <v>20</v>
      </c>
      <c r="J20" t="s">
        <v>15</v>
      </c>
      <c r="K20" t="s">
        <v>16</v>
      </c>
      <c r="L20" t="s">
        <v>17</v>
      </c>
    </row>
    <row r="21" spans="1:12" x14ac:dyDescent="0.2">
      <c r="A21">
        <v>12</v>
      </c>
      <c r="B21">
        <v>128</v>
      </c>
      <c r="C21">
        <v>271.39999999999998</v>
      </c>
      <c r="D21">
        <v>1.9056</v>
      </c>
      <c r="F21">
        <v>10</v>
      </c>
      <c r="G21">
        <f>D7</f>
        <v>1.9599</v>
      </c>
      <c r="H21">
        <f>D2</f>
        <v>0.32490000000000002</v>
      </c>
      <c r="I21">
        <f>D4</f>
        <v>1.1852</v>
      </c>
      <c r="J21">
        <v>2.2850000000000001</v>
      </c>
      <c r="K21">
        <v>0.3301</v>
      </c>
      <c r="L21">
        <v>1.177</v>
      </c>
    </row>
    <row r="22" spans="1:12" x14ac:dyDescent="0.2">
      <c r="A22">
        <v>12</v>
      </c>
      <c r="B22">
        <v>160</v>
      </c>
      <c r="C22">
        <v>299.7</v>
      </c>
      <c r="D22">
        <v>2.7225999999999999</v>
      </c>
      <c r="F22">
        <v>11</v>
      </c>
      <c r="G22">
        <f>D22</f>
        <v>2.7225999999999999</v>
      </c>
      <c r="H22">
        <f>D10</f>
        <v>0.31290000000000001</v>
      </c>
      <c r="I22">
        <f>D12</f>
        <v>1.2009000000000001</v>
      </c>
      <c r="J22">
        <v>3.8923999999999999</v>
      </c>
      <c r="K22">
        <v>0.29920000000000002</v>
      </c>
      <c r="L22">
        <v>1.2088000000000001</v>
      </c>
    </row>
    <row r="23" spans="1:12" x14ac:dyDescent="0.2">
      <c r="A23">
        <v>12</v>
      </c>
      <c r="B23">
        <v>192</v>
      </c>
      <c r="C23">
        <v>332.1</v>
      </c>
      <c r="D23">
        <v>3.9699</v>
      </c>
      <c r="F23">
        <v>12</v>
      </c>
      <c r="G23">
        <f>D23</f>
        <v>3.9699</v>
      </c>
      <c r="H23">
        <f>D18</f>
        <v>0.30590000000000001</v>
      </c>
      <c r="I23">
        <f>D20</f>
        <v>1.1901999999999999</v>
      </c>
      <c r="J23">
        <v>4.3422999999999998</v>
      </c>
      <c r="K23">
        <v>0.30230000000000001</v>
      </c>
      <c r="L23">
        <v>1.2487999999999999</v>
      </c>
    </row>
    <row r="24" spans="1:12" x14ac:dyDescent="0.2">
      <c r="A24">
        <v>12</v>
      </c>
      <c r="B24">
        <v>224</v>
      </c>
      <c r="C24">
        <v>352.1</v>
      </c>
      <c r="D24">
        <v>5.0613999999999999</v>
      </c>
      <c r="F24">
        <v>13</v>
      </c>
      <c r="G24">
        <f>D31</f>
        <v>4.2548000000000004</v>
      </c>
      <c r="H24">
        <f>D26</f>
        <v>0.313</v>
      </c>
      <c r="I24">
        <f>D28</f>
        <v>0.99819999999999998</v>
      </c>
      <c r="J24">
        <v>3.9620000000000002</v>
      </c>
      <c r="K24">
        <v>0.32100000000000001</v>
      </c>
      <c r="L24">
        <v>1.2579</v>
      </c>
    </row>
    <row r="25" spans="1:12" x14ac:dyDescent="0.2">
      <c r="A25">
        <v>12</v>
      </c>
      <c r="B25">
        <v>256</v>
      </c>
      <c r="C25">
        <v>374.3</v>
      </c>
      <c r="D25">
        <v>6.2736000000000001</v>
      </c>
      <c r="F25">
        <v>14</v>
      </c>
      <c r="G25">
        <f>D39</f>
        <v>4.0160999999999998</v>
      </c>
      <c r="H25">
        <f>D34</f>
        <v>0.28210000000000002</v>
      </c>
      <c r="I25">
        <f>D36</f>
        <v>1.1459999999999999</v>
      </c>
      <c r="J25">
        <v>3.8439000000000001</v>
      </c>
      <c r="K25">
        <v>0.3407</v>
      </c>
      <c r="L25">
        <v>1.2782</v>
      </c>
    </row>
    <row r="26" spans="1:12" x14ac:dyDescent="0.2">
      <c r="A26">
        <v>13</v>
      </c>
      <c r="B26">
        <v>32</v>
      </c>
      <c r="C26">
        <v>433.7</v>
      </c>
      <c r="D26">
        <v>0.313</v>
      </c>
      <c r="F26">
        <v>15</v>
      </c>
      <c r="G26">
        <f>D47</f>
        <v>37.648699999999998</v>
      </c>
      <c r="H26">
        <f>D42</f>
        <v>49.517400000000002</v>
      </c>
      <c r="I26">
        <f>D44</f>
        <v>43.628799999999998</v>
      </c>
      <c r="J26">
        <v>1.9975000000000001</v>
      </c>
      <c r="K26">
        <v>0.24840000000000001</v>
      </c>
      <c r="L26">
        <v>0.79459999999999997</v>
      </c>
    </row>
    <row r="27" spans="1:12" x14ac:dyDescent="0.2">
      <c r="A27">
        <v>13</v>
      </c>
      <c r="B27">
        <v>64</v>
      </c>
      <c r="C27">
        <v>402.6</v>
      </c>
      <c r="D27">
        <v>0.61570000000000003</v>
      </c>
      <c r="F27">
        <v>16</v>
      </c>
      <c r="G27">
        <f>D55</f>
        <v>30.747699999999998</v>
      </c>
      <c r="H27">
        <f>D50</f>
        <v>23.312000000000001</v>
      </c>
      <c r="I27">
        <f>D52</f>
        <v>33.066699999999997</v>
      </c>
      <c r="J27">
        <v>1.9094</v>
      </c>
      <c r="K27">
        <v>0.248</v>
      </c>
      <c r="L27">
        <v>0.80759999999999998</v>
      </c>
    </row>
    <row r="28" spans="1:12" x14ac:dyDescent="0.2">
      <c r="A28">
        <v>13</v>
      </c>
      <c r="B28">
        <v>96</v>
      </c>
      <c r="C28">
        <v>424.6</v>
      </c>
      <c r="D28">
        <v>0.99819999999999998</v>
      </c>
      <c r="F28">
        <v>17</v>
      </c>
      <c r="G28">
        <f>D63</f>
        <v>18.258600000000001</v>
      </c>
      <c r="H28">
        <f>D58</f>
        <v>2.5644</v>
      </c>
      <c r="I28">
        <f>D60</f>
        <v>7.6848000000000001</v>
      </c>
      <c r="J28">
        <v>3.5203000000000002</v>
      </c>
      <c r="K28">
        <v>0.3024</v>
      </c>
      <c r="L28">
        <v>1.179</v>
      </c>
    </row>
    <row r="29" spans="1:12" x14ac:dyDescent="0.2">
      <c r="A29">
        <v>13</v>
      </c>
      <c r="B29">
        <v>128</v>
      </c>
      <c r="C29">
        <v>479.1</v>
      </c>
      <c r="D29">
        <v>2.0251000000000001</v>
      </c>
      <c r="F29">
        <v>18</v>
      </c>
      <c r="G29">
        <f>D71</f>
        <v>11.0329</v>
      </c>
      <c r="H29">
        <f>D66</f>
        <v>0.59199999999999997</v>
      </c>
      <c r="I29">
        <f>D68</f>
        <v>2.2751000000000001</v>
      </c>
      <c r="J29">
        <v>3.6985000000000001</v>
      </c>
      <c r="K29">
        <v>0.32519999999999999</v>
      </c>
      <c r="L29">
        <v>1.1451</v>
      </c>
    </row>
    <row r="30" spans="1:12" x14ac:dyDescent="0.2">
      <c r="A30">
        <v>13</v>
      </c>
      <c r="B30">
        <v>160</v>
      </c>
      <c r="C30">
        <v>507.1</v>
      </c>
      <c r="D30">
        <v>2.83</v>
      </c>
    </row>
    <row r="31" spans="1:12" x14ac:dyDescent="0.2">
      <c r="A31">
        <v>13</v>
      </c>
      <c r="B31">
        <v>192</v>
      </c>
      <c r="C31">
        <v>565</v>
      </c>
      <c r="D31">
        <v>4.2548000000000004</v>
      </c>
    </row>
    <row r="32" spans="1:12" x14ac:dyDescent="0.2">
      <c r="A32">
        <v>13</v>
      </c>
      <c r="B32">
        <v>224</v>
      </c>
      <c r="C32">
        <v>598</v>
      </c>
      <c r="D32">
        <v>5.1344000000000003</v>
      </c>
    </row>
    <row r="33" spans="1:4" x14ac:dyDescent="0.2">
      <c r="A33">
        <v>13</v>
      </c>
      <c r="B33">
        <v>256</v>
      </c>
      <c r="C33">
        <v>651.4</v>
      </c>
      <c r="D33">
        <v>5.7092000000000001</v>
      </c>
    </row>
    <row r="34" spans="1:4" x14ac:dyDescent="0.2">
      <c r="A34">
        <v>14</v>
      </c>
      <c r="B34">
        <v>32</v>
      </c>
      <c r="C34">
        <v>792.7</v>
      </c>
      <c r="D34">
        <v>0.28210000000000002</v>
      </c>
    </row>
    <row r="35" spans="1:4" x14ac:dyDescent="0.2">
      <c r="A35">
        <v>14</v>
      </c>
      <c r="B35">
        <v>64</v>
      </c>
      <c r="C35">
        <v>685.6</v>
      </c>
      <c r="D35">
        <v>0.61319999999999997</v>
      </c>
    </row>
    <row r="36" spans="1:4" x14ac:dyDescent="0.2">
      <c r="A36">
        <v>14</v>
      </c>
      <c r="B36">
        <v>96</v>
      </c>
      <c r="C36">
        <v>711.4</v>
      </c>
      <c r="D36">
        <v>1.1459999999999999</v>
      </c>
    </row>
    <row r="37" spans="1:4" x14ac:dyDescent="0.2">
      <c r="A37">
        <v>14</v>
      </c>
      <c r="B37">
        <v>128</v>
      </c>
      <c r="C37">
        <v>817.6</v>
      </c>
      <c r="D37">
        <v>2.0360999999999998</v>
      </c>
    </row>
    <row r="38" spans="1:4" x14ac:dyDescent="0.2">
      <c r="A38">
        <v>14</v>
      </c>
      <c r="B38">
        <v>160</v>
      </c>
      <c r="C38">
        <v>860</v>
      </c>
      <c r="D38">
        <v>2.67</v>
      </c>
    </row>
    <row r="39" spans="1:4" x14ac:dyDescent="0.2">
      <c r="A39">
        <v>14</v>
      </c>
      <c r="B39">
        <v>192</v>
      </c>
      <c r="C39">
        <v>965.4</v>
      </c>
      <c r="D39">
        <v>4.0160999999999998</v>
      </c>
    </row>
    <row r="40" spans="1:4" x14ac:dyDescent="0.2">
      <c r="A40">
        <v>14</v>
      </c>
      <c r="B40">
        <v>224</v>
      </c>
      <c r="C40">
        <v>1017.7</v>
      </c>
      <c r="D40">
        <v>5.1322000000000001</v>
      </c>
    </row>
    <row r="41" spans="1:4" x14ac:dyDescent="0.2">
      <c r="A41">
        <v>14</v>
      </c>
      <c r="B41">
        <v>256</v>
      </c>
      <c r="C41">
        <v>1101.9000000000001</v>
      </c>
      <c r="D41">
        <v>6.5477999999999996</v>
      </c>
    </row>
    <row r="42" spans="1:4" x14ac:dyDescent="0.2">
      <c r="A42">
        <v>15</v>
      </c>
      <c r="B42">
        <v>32</v>
      </c>
      <c r="C42">
        <v>3365.7</v>
      </c>
      <c r="D42">
        <v>49.517400000000002</v>
      </c>
    </row>
    <row r="43" spans="1:4" x14ac:dyDescent="0.2">
      <c r="A43">
        <v>15</v>
      </c>
      <c r="B43">
        <v>64</v>
      </c>
      <c r="C43">
        <v>2896.7</v>
      </c>
      <c r="D43">
        <v>46.201599999999999</v>
      </c>
    </row>
    <row r="44" spans="1:4" x14ac:dyDescent="0.2">
      <c r="A44">
        <v>15</v>
      </c>
      <c r="B44">
        <v>96</v>
      </c>
      <c r="C44">
        <v>2793.3</v>
      </c>
      <c r="D44">
        <v>43.628799999999998</v>
      </c>
    </row>
    <row r="45" spans="1:4" x14ac:dyDescent="0.2">
      <c r="A45">
        <v>15</v>
      </c>
      <c r="B45">
        <v>128</v>
      </c>
      <c r="C45">
        <v>2782.1</v>
      </c>
      <c r="D45">
        <v>40.683700000000002</v>
      </c>
    </row>
    <row r="46" spans="1:4" x14ac:dyDescent="0.2">
      <c r="A46">
        <v>15</v>
      </c>
      <c r="B46">
        <v>160</v>
      </c>
      <c r="C46">
        <v>2776.5</v>
      </c>
      <c r="D46">
        <v>39.1571</v>
      </c>
    </row>
    <row r="47" spans="1:4" x14ac:dyDescent="0.2">
      <c r="A47">
        <v>15</v>
      </c>
      <c r="B47">
        <v>192</v>
      </c>
      <c r="C47">
        <v>2791.7</v>
      </c>
      <c r="D47">
        <v>37.648699999999998</v>
      </c>
    </row>
    <row r="48" spans="1:4" x14ac:dyDescent="0.2">
      <c r="A48">
        <v>15</v>
      </c>
      <c r="B48">
        <v>224</v>
      </c>
      <c r="C48">
        <v>2811.1</v>
      </c>
      <c r="D48">
        <v>37.242800000000003</v>
      </c>
    </row>
    <row r="49" spans="1:4" x14ac:dyDescent="0.2">
      <c r="A49">
        <v>15</v>
      </c>
      <c r="B49">
        <v>256</v>
      </c>
      <c r="C49">
        <v>2795</v>
      </c>
      <c r="D49">
        <v>34.668700000000001</v>
      </c>
    </row>
    <row r="50" spans="1:4" x14ac:dyDescent="0.2">
      <c r="A50">
        <v>16</v>
      </c>
      <c r="B50">
        <v>32</v>
      </c>
      <c r="C50">
        <v>9169.1</v>
      </c>
      <c r="D50">
        <v>23.312000000000001</v>
      </c>
    </row>
    <row r="51" spans="1:4" x14ac:dyDescent="0.2">
      <c r="A51">
        <v>16</v>
      </c>
      <c r="B51">
        <v>64</v>
      </c>
      <c r="C51">
        <v>5811.7</v>
      </c>
      <c r="D51">
        <v>30.398</v>
      </c>
    </row>
    <row r="52" spans="1:4" x14ac:dyDescent="0.2">
      <c r="A52">
        <v>16</v>
      </c>
      <c r="B52">
        <v>96</v>
      </c>
      <c r="C52">
        <v>4992.3</v>
      </c>
      <c r="D52">
        <v>33.066699999999997</v>
      </c>
    </row>
    <row r="53" spans="1:4" x14ac:dyDescent="0.2">
      <c r="A53">
        <v>16</v>
      </c>
      <c r="B53">
        <v>128</v>
      </c>
      <c r="C53">
        <v>4697.3999999999996</v>
      </c>
      <c r="D53">
        <v>32.573099999999997</v>
      </c>
    </row>
    <row r="54" spans="1:4" x14ac:dyDescent="0.2">
      <c r="A54">
        <v>16</v>
      </c>
      <c r="B54">
        <v>160</v>
      </c>
      <c r="C54">
        <v>4575.5</v>
      </c>
      <c r="D54">
        <v>31.3049</v>
      </c>
    </row>
    <row r="55" spans="1:4" x14ac:dyDescent="0.2">
      <c r="A55">
        <v>16</v>
      </c>
      <c r="B55">
        <v>192</v>
      </c>
      <c r="C55">
        <v>4341.1000000000004</v>
      </c>
      <c r="D55">
        <v>30.747699999999998</v>
      </c>
    </row>
    <row r="56" spans="1:4" x14ac:dyDescent="0.2">
      <c r="A56">
        <v>16</v>
      </c>
      <c r="B56">
        <v>224</v>
      </c>
      <c r="C56">
        <v>4203.2</v>
      </c>
      <c r="D56">
        <v>31.871300000000002</v>
      </c>
    </row>
    <row r="57" spans="1:4" x14ac:dyDescent="0.2">
      <c r="A57">
        <v>16</v>
      </c>
      <c r="B57">
        <v>256</v>
      </c>
      <c r="C57">
        <v>4173.3999999999996</v>
      </c>
      <c r="D57">
        <v>31.85</v>
      </c>
    </row>
    <row r="58" spans="1:4" x14ac:dyDescent="0.2">
      <c r="A58">
        <v>17</v>
      </c>
      <c r="B58">
        <v>32</v>
      </c>
      <c r="C58">
        <v>43179.1</v>
      </c>
      <c r="D58">
        <v>2.5644</v>
      </c>
    </row>
    <row r="59" spans="1:4" x14ac:dyDescent="0.2">
      <c r="A59">
        <v>17</v>
      </c>
      <c r="B59">
        <v>64</v>
      </c>
      <c r="C59">
        <v>21218</v>
      </c>
      <c r="D59">
        <v>8.2820999999999998</v>
      </c>
    </row>
    <row r="60" spans="1:4" x14ac:dyDescent="0.2">
      <c r="A60">
        <v>17</v>
      </c>
      <c r="B60">
        <v>96</v>
      </c>
      <c r="C60">
        <v>18042.2</v>
      </c>
      <c r="D60">
        <v>7.6848000000000001</v>
      </c>
    </row>
    <row r="61" spans="1:4" x14ac:dyDescent="0.2">
      <c r="A61">
        <v>17</v>
      </c>
      <c r="B61">
        <v>128</v>
      </c>
      <c r="C61">
        <v>15352.7</v>
      </c>
      <c r="D61">
        <v>15.569000000000001</v>
      </c>
    </row>
    <row r="62" spans="1:4" x14ac:dyDescent="0.2">
      <c r="A62">
        <v>17</v>
      </c>
      <c r="B62">
        <v>160</v>
      </c>
      <c r="C62">
        <v>16579.3</v>
      </c>
      <c r="D62">
        <v>16.438300000000002</v>
      </c>
    </row>
    <row r="63" spans="1:4" x14ac:dyDescent="0.2">
      <c r="A63">
        <v>17</v>
      </c>
      <c r="B63">
        <v>192</v>
      </c>
      <c r="C63">
        <v>16088.8</v>
      </c>
      <c r="D63">
        <v>18.258600000000001</v>
      </c>
    </row>
    <row r="64" spans="1:4" x14ac:dyDescent="0.2">
      <c r="A64">
        <v>17</v>
      </c>
      <c r="B64">
        <v>224</v>
      </c>
      <c r="C64">
        <v>16332.4</v>
      </c>
      <c r="D64">
        <v>18.699100000000001</v>
      </c>
    </row>
    <row r="65" spans="1:10" x14ac:dyDescent="0.2">
      <c r="A65">
        <v>17</v>
      </c>
      <c r="B65">
        <v>256</v>
      </c>
      <c r="C65">
        <v>15601.3</v>
      </c>
      <c r="D65">
        <v>20.902999999999999</v>
      </c>
    </row>
    <row r="66" spans="1:10" x14ac:dyDescent="0.2">
      <c r="A66">
        <v>18</v>
      </c>
      <c r="B66">
        <v>32</v>
      </c>
      <c r="C66">
        <v>218787.5</v>
      </c>
      <c r="D66">
        <v>0.59199999999999997</v>
      </c>
    </row>
    <row r="67" spans="1:10" x14ac:dyDescent="0.2">
      <c r="A67">
        <v>18</v>
      </c>
      <c r="B67">
        <v>64</v>
      </c>
      <c r="C67">
        <v>111178.7</v>
      </c>
      <c r="D67">
        <v>2.0594000000000001</v>
      </c>
    </row>
    <row r="68" spans="1:10" x14ac:dyDescent="0.2">
      <c r="A68">
        <v>18</v>
      </c>
      <c r="B68">
        <v>96</v>
      </c>
      <c r="C68">
        <v>107659.9</v>
      </c>
      <c r="D68">
        <v>2.2751000000000001</v>
      </c>
    </row>
    <row r="69" spans="1:10" x14ac:dyDescent="0.2">
      <c r="A69">
        <v>18</v>
      </c>
      <c r="B69">
        <v>128</v>
      </c>
      <c r="C69">
        <v>78068.399999999994</v>
      </c>
      <c r="D69">
        <v>2.8868999999999998</v>
      </c>
    </row>
    <row r="70" spans="1:10" x14ac:dyDescent="0.2">
      <c r="A70">
        <v>18</v>
      </c>
      <c r="B70">
        <v>160</v>
      </c>
      <c r="C70">
        <v>78541.899999999994</v>
      </c>
      <c r="D70">
        <v>3.6686999999999999</v>
      </c>
    </row>
    <row r="71" spans="1:10" x14ac:dyDescent="0.2">
      <c r="A71">
        <v>18</v>
      </c>
      <c r="B71">
        <v>192</v>
      </c>
      <c r="C71">
        <v>78646.8</v>
      </c>
      <c r="D71">
        <v>11.0329</v>
      </c>
    </row>
    <row r="72" spans="1:10" x14ac:dyDescent="0.2">
      <c r="A72">
        <v>18</v>
      </c>
      <c r="B72">
        <v>224</v>
      </c>
      <c r="C72">
        <v>74474.5</v>
      </c>
      <c r="D72">
        <v>5.6379000000000001</v>
      </c>
    </row>
    <row r="73" spans="1:10" x14ac:dyDescent="0.2">
      <c r="A73">
        <v>18</v>
      </c>
      <c r="B73">
        <v>256</v>
      </c>
      <c r="C73">
        <v>77285</v>
      </c>
      <c r="D73">
        <v>6.9047999999999998</v>
      </c>
    </row>
    <row r="75" spans="1:10" ht="13" customHeight="1" x14ac:dyDescent="0.2"/>
    <row r="76" spans="1:10" x14ac:dyDescent="0.2">
      <c r="A76" t="s">
        <v>3</v>
      </c>
      <c r="B76" t="s">
        <v>4</v>
      </c>
      <c r="C76" t="s">
        <v>5</v>
      </c>
      <c r="D76" t="s">
        <v>6</v>
      </c>
      <c r="E76" t="s">
        <v>7</v>
      </c>
      <c r="F76" t="s">
        <v>8</v>
      </c>
      <c r="G76" t="s">
        <v>9</v>
      </c>
      <c r="H76">
        <v>12</v>
      </c>
      <c r="I76">
        <v>11</v>
      </c>
      <c r="J76">
        <v>10</v>
      </c>
    </row>
    <row r="77" spans="1:10" x14ac:dyDescent="0.2">
      <c r="A77">
        <v>32</v>
      </c>
      <c r="B77">
        <v>218787.5</v>
      </c>
      <c r="C77">
        <v>43179.1</v>
      </c>
      <c r="D77">
        <v>9169.1</v>
      </c>
      <c r="E77">
        <v>3365.7</v>
      </c>
      <c r="F77">
        <v>792.7</v>
      </c>
      <c r="G77">
        <v>433.7</v>
      </c>
      <c r="H77">
        <v>205.6</v>
      </c>
    </row>
    <row r="78" spans="1:10" x14ac:dyDescent="0.2">
      <c r="A78">
        <v>64</v>
      </c>
      <c r="B78">
        <v>111178.7</v>
      </c>
      <c r="C78">
        <v>21218</v>
      </c>
      <c r="D78">
        <v>5811.7</v>
      </c>
      <c r="E78">
        <v>2896.7</v>
      </c>
      <c r="F78">
        <v>685.6</v>
      </c>
      <c r="G78">
        <v>402.6</v>
      </c>
      <c r="H78">
        <v>213.8</v>
      </c>
    </row>
    <row r="79" spans="1:10" x14ac:dyDescent="0.2">
      <c r="A79">
        <v>96</v>
      </c>
      <c r="B79">
        <v>107659.9</v>
      </c>
      <c r="C79">
        <v>18042.2</v>
      </c>
      <c r="D79">
        <v>4992.3</v>
      </c>
      <c r="E79">
        <v>2793.3</v>
      </c>
      <c r="F79">
        <v>711.4</v>
      </c>
      <c r="G79">
        <v>424.6</v>
      </c>
      <c r="H79">
        <v>237.4</v>
      </c>
    </row>
    <row r="80" spans="1:10" x14ac:dyDescent="0.2">
      <c r="A80">
        <v>128</v>
      </c>
      <c r="B80">
        <v>78068.399999999994</v>
      </c>
      <c r="C80">
        <v>15352.7</v>
      </c>
      <c r="D80">
        <v>4697.3999999999996</v>
      </c>
      <c r="E80">
        <v>2782.1</v>
      </c>
      <c r="F80">
        <v>817.6</v>
      </c>
      <c r="G80">
        <v>479.1</v>
      </c>
      <c r="H80">
        <v>271.39999999999998</v>
      </c>
    </row>
    <row r="81" spans="1:8" x14ac:dyDescent="0.2">
      <c r="A81">
        <v>160</v>
      </c>
      <c r="B81">
        <v>78541.899999999994</v>
      </c>
      <c r="C81">
        <v>16579.3</v>
      </c>
      <c r="D81">
        <v>4575.5</v>
      </c>
      <c r="E81">
        <v>2776.5</v>
      </c>
      <c r="F81">
        <v>860</v>
      </c>
      <c r="G81">
        <v>507.1</v>
      </c>
      <c r="H81">
        <v>299.7</v>
      </c>
    </row>
    <row r="82" spans="1:8" x14ac:dyDescent="0.2">
      <c r="A82">
        <v>192</v>
      </c>
      <c r="B82">
        <v>78646.8</v>
      </c>
      <c r="C82">
        <v>16088.8</v>
      </c>
      <c r="D82">
        <v>4341.1000000000004</v>
      </c>
      <c r="E82">
        <v>2791.7</v>
      </c>
      <c r="F82">
        <v>965.4</v>
      </c>
      <c r="G82">
        <v>565</v>
      </c>
      <c r="H82">
        <v>332.1</v>
      </c>
    </row>
    <row r="83" spans="1:8" x14ac:dyDescent="0.2">
      <c r="A83">
        <v>224</v>
      </c>
      <c r="B83">
        <v>74474.5</v>
      </c>
      <c r="C83">
        <v>16332.4</v>
      </c>
      <c r="D83">
        <v>4203.2</v>
      </c>
      <c r="E83">
        <v>2811.1</v>
      </c>
      <c r="F83">
        <v>1017.7</v>
      </c>
      <c r="G83">
        <v>598</v>
      </c>
      <c r="H83">
        <v>352.1</v>
      </c>
    </row>
    <row r="84" spans="1:8" x14ac:dyDescent="0.2">
      <c r="A84">
        <v>256</v>
      </c>
      <c r="B84">
        <v>77285</v>
      </c>
      <c r="C84">
        <v>15601.3</v>
      </c>
      <c r="D84">
        <v>4173.3999999999996</v>
      </c>
      <c r="E84">
        <v>2795</v>
      </c>
      <c r="F84">
        <v>1101.9000000000001</v>
      </c>
      <c r="G84">
        <v>651.4</v>
      </c>
      <c r="H84">
        <v>374.3</v>
      </c>
    </row>
    <row r="87" spans="1:8" x14ac:dyDescent="0.2">
      <c r="A87" t="s">
        <v>21</v>
      </c>
      <c r="B87">
        <v>5000000</v>
      </c>
      <c r="C87">
        <v>480000</v>
      </c>
      <c r="D87">
        <v>480000</v>
      </c>
      <c r="E87">
        <v>1000</v>
      </c>
      <c r="F87">
        <v>1000</v>
      </c>
      <c r="G87">
        <v>1000</v>
      </c>
    </row>
    <row r="89" spans="1:8" x14ac:dyDescent="0.2">
      <c r="B89" t="s">
        <v>4</v>
      </c>
      <c r="C89" t="s">
        <v>5</v>
      </c>
      <c r="D89" t="s">
        <v>6</v>
      </c>
      <c r="E89" t="s">
        <v>7</v>
      </c>
      <c r="F89" t="s">
        <v>8</v>
      </c>
      <c r="G89" t="s">
        <v>9</v>
      </c>
    </row>
    <row r="90" spans="1:8" x14ac:dyDescent="0.2">
      <c r="A90">
        <v>32</v>
      </c>
      <c r="B90">
        <f>B$87/B77</f>
        <v>22.853225161400903</v>
      </c>
      <c r="C90">
        <f t="shared" ref="C90:G90" si="0">C$87/C77</f>
        <v>11.116489227427158</v>
      </c>
      <c r="D90">
        <f>D$87/D77</f>
        <v>52.34973988722993</v>
      </c>
      <c r="E90">
        <f t="shared" si="0"/>
        <v>0.2971150132216181</v>
      </c>
      <c r="F90">
        <f t="shared" si="0"/>
        <v>1.2615112905260502</v>
      </c>
      <c r="G90">
        <f t="shared" si="0"/>
        <v>2.3057412958266084</v>
      </c>
    </row>
    <row r="91" spans="1:8" x14ac:dyDescent="0.2">
      <c r="A91">
        <v>64</v>
      </c>
      <c r="B91">
        <f t="shared" ref="B91:C97" si="1">B$87/B78</f>
        <v>44.972643141177223</v>
      </c>
      <c r="C91">
        <f t="shared" si="1"/>
        <v>22.622301819210104</v>
      </c>
      <c r="D91">
        <f t="shared" ref="D91:G97" si="2">D$87/D78</f>
        <v>82.592012664108609</v>
      </c>
      <c r="E91">
        <f t="shared" si="2"/>
        <v>0.34522042324023894</v>
      </c>
      <c r="F91">
        <f t="shared" si="2"/>
        <v>1.4585764294049008</v>
      </c>
      <c r="G91">
        <f t="shared" si="2"/>
        <v>2.4838549428713361</v>
      </c>
    </row>
    <row r="92" spans="1:8" x14ac:dyDescent="0.2">
      <c r="A92">
        <v>96</v>
      </c>
      <c r="B92">
        <f t="shared" si="1"/>
        <v>46.442547317989337</v>
      </c>
      <c r="C92">
        <f t="shared" si="1"/>
        <v>26.604294376517274</v>
      </c>
      <c r="D92">
        <f t="shared" si="2"/>
        <v>96.148068024758118</v>
      </c>
      <c r="E92">
        <f t="shared" si="2"/>
        <v>0.35799949880070164</v>
      </c>
      <c r="F92">
        <f t="shared" si="2"/>
        <v>1.405678942929435</v>
      </c>
      <c r="G92">
        <f t="shared" si="2"/>
        <v>2.3551577955723033</v>
      </c>
    </row>
    <row r="93" spans="1:8" x14ac:dyDescent="0.2">
      <c r="A93">
        <v>128</v>
      </c>
      <c r="B93">
        <f t="shared" si="1"/>
        <v>64.046400336115511</v>
      </c>
      <c r="C93">
        <f t="shared" si="1"/>
        <v>31.264858949891547</v>
      </c>
      <c r="D93">
        <f t="shared" si="2"/>
        <v>102.18418699706221</v>
      </c>
      <c r="E93">
        <f t="shared" si="2"/>
        <v>0.35944071025484348</v>
      </c>
      <c r="F93">
        <f t="shared" si="2"/>
        <v>1.2230919765166339</v>
      </c>
      <c r="G93">
        <f t="shared" si="2"/>
        <v>2.0872469213107911</v>
      </c>
    </row>
    <row r="94" spans="1:8" x14ac:dyDescent="0.2">
      <c r="A94">
        <v>160</v>
      </c>
      <c r="B94">
        <f t="shared" si="1"/>
        <v>63.660288330177913</v>
      </c>
      <c r="C94">
        <f t="shared" si="1"/>
        <v>28.951765152931667</v>
      </c>
      <c r="D94">
        <f t="shared" si="2"/>
        <v>104.90656758824173</v>
      </c>
      <c r="E94">
        <f t="shared" si="2"/>
        <v>0.36016567621105711</v>
      </c>
      <c r="F94">
        <f t="shared" si="2"/>
        <v>1.1627906976744187</v>
      </c>
      <c r="G94">
        <f t="shared" si="2"/>
        <v>1.9719976336028395</v>
      </c>
    </row>
    <row r="95" spans="1:8" x14ac:dyDescent="0.2">
      <c r="A95">
        <v>192</v>
      </c>
      <c r="B95">
        <f t="shared" si="1"/>
        <v>63.575377510591657</v>
      </c>
      <c r="C95">
        <f t="shared" si="1"/>
        <v>29.834418974690468</v>
      </c>
      <c r="D95">
        <f t="shared" si="2"/>
        <v>110.57105341964018</v>
      </c>
      <c r="E95">
        <f t="shared" si="2"/>
        <v>0.3582046781530967</v>
      </c>
      <c r="F95">
        <f t="shared" si="2"/>
        <v>1.0358400662937643</v>
      </c>
      <c r="G95">
        <f t="shared" si="2"/>
        <v>1.7699115044247788</v>
      </c>
    </row>
    <row r="96" spans="1:8" x14ac:dyDescent="0.2">
      <c r="A96">
        <v>224</v>
      </c>
      <c r="B96">
        <f t="shared" si="1"/>
        <v>67.13707376350294</v>
      </c>
      <c r="C96">
        <f t="shared" si="1"/>
        <v>29.389434498297863</v>
      </c>
      <c r="D96">
        <f t="shared" si="2"/>
        <v>114.19870574800153</v>
      </c>
      <c r="E96">
        <f t="shared" si="2"/>
        <v>0.35573263135427413</v>
      </c>
      <c r="F96">
        <f t="shared" si="2"/>
        <v>0.98260784121057276</v>
      </c>
      <c r="G96">
        <f t="shared" si="2"/>
        <v>1.6722408026755853</v>
      </c>
    </row>
    <row r="97" spans="1:7" x14ac:dyDescent="0.2">
      <c r="A97">
        <v>256</v>
      </c>
      <c r="B97">
        <f t="shared" si="1"/>
        <v>64.69560716827327</v>
      </c>
      <c r="C97">
        <f t="shared" si="1"/>
        <v>30.766666880324077</v>
      </c>
      <c r="D97">
        <f t="shared" si="2"/>
        <v>115.01413715435856</v>
      </c>
      <c r="E97">
        <f t="shared" si="2"/>
        <v>0.35778175313059035</v>
      </c>
      <c r="F97">
        <f t="shared" si="2"/>
        <v>0.90752336872674466</v>
      </c>
      <c r="G97">
        <f t="shared" si="2"/>
        <v>1.5351550506601168</v>
      </c>
    </row>
    <row r="99" spans="1:7" x14ac:dyDescent="0.2">
      <c r="A99" t="s">
        <v>22</v>
      </c>
      <c r="B99" t="s">
        <v>4</v>
      </c>
      <c r="C99" t="s">
        <v>5</v>
      </c>
      <c r="D99" t="s">
        <v>6</v>
      </c>
      <c r="E99" t="s">
        <v>7</v>
      </c>
      <c r="F99" t="s">
        <v>8</v>
      </c>
      <c r="G99" t="s">
        <v>9</v>
      </c>
    </row>
    <row r="100" spans="1:7" x14ac:dyDescent="0.2">
      <c r="A100">
        <v>32</v>
      </c>
      <c r="B100">
        <f>B90/$A100</f>
        <v>0.71416328629377823</v>
      </c>
      <c r="C100">
        <f t="shared" ref="C100:G100" si="3">C90/$A100</f>
        <v>0.34739028835709868</v>
      </c>
      <c r="D100">
        <f t="shared" si="3"/>
        <v>1.6359293714759353</v>
      </c>
      <c r="E100">
        <f t="shared" si="3"/>
        <v>9.2848441631755655E-3</v>
      </c>
      <c r="F100">
        <f t="shared" si="3"/>
        <v>3.9422227828939067E-2</v>
      </c>
      <c r="G100">
        <f>G90/$A100</f>
        <v>7.2054415494581511E-2</v>
      </c>
    </row>
    <row r="101" spans="1:7" x14ac:dyDescent="0.2">
      <c r="A101">
        <v>64</v>
      </c>
      <c r="B101">
        <f t="shared" ref="B101:G107" si="4">B91/$A101</f>
        <v>0.7026975490808941</v>
      </c>
      <c r="C101">
        <f t="shared" si="4"/>
        <v>0.35347346592515788</v>
      </c>
      <c r="D101">
        <f t="shared" si="4"/>
        <v>1.290500197876697</v>
      </c>
      <c r="E101">
        <f t="shared" si="4"/>
        <v>5.3940691131287334E-3</v>
      </c>
      <c r="F101">
        <f t="shared" si="4"/>
        <v>2.2790256709451576E-2</v>
      </c>
      <c r="G101">
        <f t="shared" si="4"/>
        <v>3.8810233482364627E-2</v>
      </c>
    </row>
    <row r="102" spans="1:7" x14ac:dyDescent="0.2">
      <c r="A102">
        <v>96</v>
      </c>
      <c r="B102">
        <f t="shared" si="4"/>
        <v>0.48377653456238895</v>
      </c>
      <c r="C102">
        <f t="shared" si="4"/>
        <v>0.27712806642205495</v>
      </c>
      <c r="D102">
        <f t="shared" si="4"/>
        <v>1.0015423752578971</v>
      </c>
      <c r="E102">
        <f t="shared" si="4"/>
        <v>3.7291614458406421E-3</v>
      </c>
      <c r="F102">
        <f t="shared" si="4"/>
        <v>1.4642488988848281E-2</v>
      </c>
      <c r="G102">
        <f t="shared" si="4"/>
        <v>2.4532893703878161E-2</v>
      </c>
    </row>
    <row r="103" spans="1:7" x14ac:dyDescent="0.2">
      <c r="A103">
        <v>128</v>
      </c>
      <c r="B103">
        <f t="shared" si="4"/>
        <v>0.50036250262590243</v>
      </c>
      <c r="C103">
        <f t="shared" si="4"/>
        <v>0.24425671054602771</v>
      </c>
      <c r="D103">
        <f t="shared" si="4"/>
        <v>0.79831396091454854</v>
      </c>
      <c r="E103">
        <f t="shared" si="4"/>
        <v>2.8081305488659647E-3</v>
      </c>
      <c r="F103">
        <f t="shared" si="4"/>
        <v>9.5554060665362026E-3</v>
      </c>
      <c r="G103">
        <f t="shared" si="4"/>
        <v>1.6306616572740556E-2</v>
      </c>
    </row>
    <row r="104" spans="1:7" x14ac:dyDescent="0.2">
      <c r="A104">
        <v>160</v>
      </c>
      <c r="B104">
        <f t="shared" si="4"/>
        <v>0.39787680206361198</v>
      </c>
      <c r="C104">
        <f t="shared" si="4"/>
        <v>0.18094853220582291</v>
      </c>
      <c r="D104">
        <f t="shared" si="4"/>
        <v>0.6556660474265108</v>
      </c>
      <c r="E104">
        <f t="shared" si="4"/>
        <v>2.2510354763191067E-3</v>
      </c>
      <c r="F104">
        <f t="shared" si="4"/>
        <v>7.267441860465117E-3</v>
      </c>
      <c r="G104">
        <f t="shared" si="4"/>
        <v>1.2324985210017746E-2</v>
      </c>
    </row>
    <row r="105" spans="1:7" x14ac:dyDescent="0.2">
      <c r="A105">
        <v>192</v>
      </c>
      <c r="B105">
        <f t="shared" si="4"/>
        <v>0.3311217578676649</v>
      </c>
      <c r="C105">
        <f t="shared" si="4"/>
        <v>0.15538759882651285</v>
      </c>
      <c r="D105">
        <f t="shared" si="4"/>
        <v>0.57589090322729264</v>
      </c>
      <c r="E105">
        <f t="shared" si="4"/>
        <v>1.8656493653807121E-3</v>
      </c>
      <c r="F105">
        <f t="shared" si="4"/>
        <v>5.3950003452800229E-3</v>
      </c>
      <c r="G105">
        <f t="shared" si="4"/>
        <v>9.2182890855457226E-3</v>
      </c>
    </row>
    <row r="106" spans="1:7" x14ac:dyDescent="0.2">
      <c r="A106">
        <v>224</v>
      </c>
      <c r="B106">
        <f t="shared" si="4"/>
        <v>0.29971907930135239</v>
      </c>
      <c r="C106">
        <f t="shared" si="4"/>
        <v>0.13120283258168688</v>
      </c>
      <c r="D106">
        <f t="shared" si="4"/>
        <v>0.5098156506607211</v>
      </c>
      <c r="E106">
        <f t="shared" si="4"/>
        <v>1.5880921042601523E-3</v>
      </c>
      <c r="F106">
        <f t="shared" si="4"/>
        <v>4.3866421482614852E-3</v>
      </c>
      <c r="G106">
        <f t="shared" si="4"/>
        <v>7.4653607262302911E-3</v>
      </c>
    </row>
    <row r="107" spans="1:7" x14ac:dyDescent="0.2">
      <c r="A107">
        <v>256</v>
      </c>
      <c r="B107">
        <f t="shared" si="4"/>
        <v>0.25271721550106746</v>
      </c>
      <c r="C107">
        <f t="shared" si="4"/>
        <v>0.12018229250126593</v>
      </c>
      <c r="D107">
        <f t="shared" si="4"/>
        <v>0.44927397325921314</v>
      </c>
      <c r="E107">
        <f t="shared" si="4"/>
        <v>1.3975849731663686E-3</v>
      </c>
      <c r="F107">
        <f t="shared" si="4"/>
        <v>3.5450131590888463E-3</v>
      </c>
      <c r="G107">
        <f t="shared" si="4"/>
        <v>5.9966994166410813E-3</v>
      </c>
    </row>
    <row r="130" spans="19:19" x14ac:dyDescent="0.2">
      <c r="S130" s="1"/>
    </row>
  </sheetData>
  <pageMargins left="0.78740157499999996" right="0.78740157499999996" top="0.984251969" bottom="0.984251969" header="0.4921259845" footer="0.4921259845"/>
  <drawing r:id="rId1"/>
</worksheet>
</file>

<file path=xl/worksheets/sheet2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5351D-81E3-1A46-BB3E-E93BB876974E}">
  <dimension ref="A1:J107"/>
  <sheetViews>
    <sheetView topLeftCell="A82" zoomScale="86" workbookViewId="0">
      <selection activeCell="J124" sqref="J124"/>
    </sheetView>
  </sheetViews>
  <sheetFormatPr baseColWidth="10" defaultRowHeight="16" x14ac:dyDescent="0.2"/>
  <sheetData>
    <row r="1" spans="1:9" x14ac:dyDescent="0.2">
      <c r="A1" t="s">
        <v>0</v>
      </c>
      <c r="B1" t="s">
        <v>1</v>
      </c>
      <c r="C1" t="s">
        <v>2</v>
      </c>
      <c r="D1" t="s">
        <v>10</v>
      </c>
    </row>
    <row r="2" spans="1:9" x14ac:dyDescent="0.2">
      <c r="A2">
        <v>10</v>
      </c>
      <c r="B2">
        <v>32</v>
      </c>
      <c r="C2">
        <v>56.5</v>
      </c>
      <c r="D2">
        <v>0.3301</v>
      </c>
      <c r="F2">
        <v>10</v>
      </c>
      <c r="G2">
        <f>AVERAGE(D2:D9)</f>
        <v>1.6425500000000002</v>
      </c>
    </row>
    <row r="3" spans="1:9" x14ac:dyDescent="0.2">
      <c r="A3">
        <v>10</v>
      </c>
      <c r="B3">
        <v>64</v>
      </c>
      <c r="C3">
        <v>60.5</v>
      </c>
      <c r="D3">
        <v>0.68840000000000001</v>
      </c>
      <c r="F3">
        <v>11</v>
      </c>
      <c r="G3">
        <f>AVERAGE(D10:D17)</f>
        <v>2.7105125000000001</v>
      </c>
    </row>
    <row r="4" spans="1:9" x14ac:dyDescent="0.2">
      <c r="A4">
        <v>10</v>
      </c>
      <c r="B4">
        <v>96</v>
      </c>
      <c r="C4">
        <v>69.3</v>
      </c>
      <c r="D4">
        <v>1.177</v>
      </c>
      <c r="F4">
        <v>12</v>
      </c>
      <c r="G4">
        <f>AVERAGE(D18:D25)</f>
        <v>2.8462624999999999</v>
      </c>
    </row>
    <row r="5" spans="1:9" x14ac:dyDescent="0.2">
      <c r="A5">
        <v>10</v>
      </c>
      <c r="B5">
        <v>128</v>
      </c>
      <c r="C5">
        <v>70.900000000000006</v>
      </c>
      <c r="D5">
        <v>1.9412</v>
      </c>
      <c r="F5">
        <v>13</v>
      </c>
      <c r="G5">
        <f>AVERAGE(D26:D33)</f>
        <v>2.8583375000000002</v>
      </c>
    </row>
    <row r="6" spans="1:9" x14ac:dyDescent="0.2">
      <c r="A6">
        <v>10</v>
      </c>
      <c r="B6">
        <v>160</v>
      </c>
      <c r="C6">
        <v>79.2</v>
      </c>
      <c r="D6">
        <v>2.2743000000000002</v>
      </c>
      <c r="F6">
        <v>14</v>
      </c>
      <c r="G6">
        <f>AVERAGE(D34:D41)</f>
        <v>2.7817249999999998</v>
      </c>
    </row>
    <row r="7" spans="1:9" x14ac:dyDescent="0.2">
      <c r="A7">
        <v>10</v>
      </c>
      <c r="B7">
        <v>192</v>
      </c>
      <c r="C7">
        <v>89.6</v>
      </c>
      <c r="D7">
        <v>2.2850000000000001</v>
      </c>
      <c r="F7">
        <v>15</v>
      </c>
      <c r="G7">
        <f>AVERAGE(D42:D49)</f>
        <v>1.4606124999999999</v>
      </c>
    </row>
    <row r="8" spans="1:9" x14ac:dyDescent="0.2">
      <c r="A8">
        <v>10</v>
      </c>
      <c r="B8">
        <v>224</v>
      </c>
      <c r="C8">
        <v>99.2</v>
      </c>
      <c r="D8">
        <v>2.2136</v>
      </c>
      <c r="F8">
        <v>16</v>
      </c>
      <c r="G8">
        <f>AVERAGE(D50:D57)</f>
        <v>1.4096500000000001</v>
      </c>
    </row>
    <row r="9" spans="1:9" x14ac:dyDescent="0.2">
      <c r="A9">
        <v>10</v>
      </c>
      <c r="B9">
        <v>256</v>
      </c>
      <c r="C9">
        <v>110.4</v>
      </c>
      <c r="D9">
        <v>2.2307999999999999</v>
      </c>
      <c r="F9">
        <v>17</v>
      </c>
      <c r="G9">
        <f>AVERAGE(D58:D65)</f>
        <v>2.3096125000000001</v>
      </c>
    </row>
    <row r="10" spans="1:9" x14ac:dyDescent="0.2">
      <c r="A10">
        <v>11</v>
      </c>
      <c r="B10">
        <v>32</v>
      </c>
      <c r="C10">
        <v>113.7</v>
      </c>
      <c r="D10">
        <v>0.29920000000000002</v>
      </c>
      <c r="F10">
        <v>18</v>
      </c>
      <c r="G10">
        <f>AVERAGE(D66:D73)</f>
        <v>2.7622625000000003</v>
      </c>
    </row>
    <row r="11" spans="1:9" x14ac:dyDescent="0.2">
      <c r="A11">
        <v>11</v>
      </c>
      <c r="B11">
        <v>64</v>
      </c>
      <c r="C11">
        <v>120.3</v>
      </c>
      <c r="D11">
        <v>0.61650000000000005</v>
      </c>
    </row>
    <row r="12" spans="1:9" x14ac:dyDescent="0.2">
      <c r="A12">
        <v>11</v>
      </c>
      <c r="B12">
        <v>96</v>
      </c>
      <c r="C12">
        <v>135.5</v>
      </c>
      <c r="D12">
        <v>1.2088000000000001</v>
      </c>
    </row>
    <row r="13" spans="1:9" x14ac:dyDescent="0.2">
      <c r="A13">
        <v>11</v>
      </c>
      <c r="B13">
        <v>128</v>
      </c>
      <c r="C13">
        <v>148.30000000000001</v>
      </c>
      <c r="D13">
        <v>1.8551</v>
      </c>
    </row>
    <row r="14" spans="1:9" x14ac:dyDescent="0.2">
      <c r="A14">
        <v>11</v>
      </c>
      <c r="B14">
        <v>160</v>
      </c>
      <c r="C14">
        <v>160.1</v>
      </c>
      <c r="D14">
        <v>2.9933999999999998</v>
      </c>
    </row>
    <row r="15" spans="1:9" x14ac:dyDescent="0.2">
      <c r="A15">
        <v>11</v>
      </c>
      <c r="B15">
        <v>192</v>
      </c>
      <c r="C15">
        <v>168.1</v>
      </c>
      <c r="D15">
        <v>3.8923999999999999</v>
      </c>
      <c r="G15" t="s">
        <v>11</v>
      </c>
      <c r="H15" t="s">
        <v>12</v>
      </c>
      <c r="I15" t="s">
        <v>13</v>
      </c>
    </row>
    <row r="16" spans="1:9" x14ac:dyDescent="0.2">
      <c r="A16">
        <v>11</v>
      </c>
      <c r="B16">
        <v>224</v>
      </c>
      <c r="C16">
        <v>167.2</v>
      </c>
      <c r="D16">
        <v>5.093</v>
      </c>
      <c r="F16">
        <v>10</v>
      </c>
      <c r="G16">
        <f>D7</f>
        <v>2.2850000000000001</v>
      </c>
      <c r="H16">
        <f>D2</f>
        <v>0.3301</v>
      </c>
      <c r="I16">
        <f>D4</f>
        <v>1.177</v>
      </c>
    </row>
    <row r="17" spans="1:9" x14ac:dyDescent="0.2">
      <c r="A17">
        <v>11</v>
      </c>
      <c r="B17">
        <v>256</v>
      </c>
      <c r="C17">
        <v>176.6</v>
      </c>
      <c r="D17">
        <v>5.7256999999999998</v>
      </c>
      <c r="F17">
        <v>11</v>
      </c>
      <c r="G17">
        <f>D15</f>
        <v>3.8923999999999999</v>
      </c>
      <c r="H17">
        <f>D10</f>
        <v>0.29920000000000002</v>
      </c>
      <c r="I17">
        <f>D12</f>
        <v>1.2088000000000001</v>
      </c>
    </row>
    <row r="18" spans="1:9" x14ac:dyDescent="0.2">
      <c r="A18">
        <v>12</v>
      </c>
      <c r="B18">
        <v>32</v>
      </c>
      <c r="C18">
        <v>218.4</v>
      </c>
      <c r="D18">
        <v>0.30230000000000001</v>
      </c>
      <c r="F18">
        <v>12</v>
      </c>
      <c r="G18">
        <f>D23</f>
        <v>4.3422999999999998</v>
      </c>
      <c r="H18">
        <f>D18</f>
        <v>0.30230000000000001</v>
      </c>
      <c r="I18">
        <f>D20</f>
        <v>1.2487999999999999</v>
      </c>
    </row>
    <row r="19" spans="1:9" x14ac:dyDescent="0.2">
      <c r="A19">
        <v>12</v>
      </c>
      <c r="B19">
        <v>64</v>
      </c>
      <c r="C19">
        <v>221.7</v>
      </c>
      <c r="D19">
        <v>0.63160000000000005</v>
      </c>
      <c r="F19">
        <v>13</v>
      </c>
      <c r="G19">
        <f>D31</f>
        <v>3.9620000000000002</v>
      </c>
      <c r="H19">
        <f>D26</f>
        <v>0.32100000000000001</v>
      </c>
      <c r="I19">
        <f>D28</f>
        <v>1.2579</v>
      </c>
    </row>
    <row r="20" spans="1:9" x14ac:dyDescent="0.2">
      <c r="A20">
        <v>12</v>
      </c>
      <c r="B20">
        <v>96</v>
      </c>
      <c r="C20">
        <v>247.7</v>
      </c>
      <c r="D20">
        <v>1.2487999999999999</v>
      </c>
      <c r="F20">
        <v>14</v>
      </c>
      <c r="G20">
        <f>D39</f>
        <v>3.8439000000000001</v>
      </c>
      <c r="H20">
        <f>D34</f>
        <v>0.3407</v>
      </c>
      <c r="I20">
        <f>D36</f>
        <v>1.2782</v>
      </c>
    </row>
    <row r="21" spans="1:9" x14ac:dyDescent="0.2">
      <c r="A21">
        <v>12</v>
      </c>
      <c r="B21">
        <v>128</v>
      </c>
      <c r="C21">
        <v>279.10000000000002</v>
      </c>
      <c r="D21">
        <v>1.9681</v>
      </c>
      <c r="F21">
        <v>15</v>
      </c>
      <c r="G21">
        <f>D47</f>
        <v>1.9975000000000001</v>
      </c>
      <c r="H21">
        <f>D42</f>
        <v>0.24840000000000001</v>
      </c>
      <c r="I21">
        <f>D44</f>
        <v>0.79459999999999997</v>
      </c>
    </row>
    <row r="22" spans="1:9" x14ac:dyDescent="0.2">
      <c r="A22">
        <v>12</v>
      </c>
      <c r="B22">
        <v>160</v>
      </c>
      <c r="C22">
        <v>305.10000000000002</v>
      </c>
      <c r="D22">
        <v>2.9232999999999998</v>
      </c>
      <c r="F22">
        <v>16</v>
      </c>
      <c r="G22">
        <f>D55</f>
        <v>1.9094</v>
      </c>
      <c r="H22">
        <f>D50</f>
        <v>0.248</v>
      </c>
      <c r="I22">
        <f>D52</f>
        <v>0.80759999999999998</v>
      </c>
    </row>
    <row r="23" spans="1:9" x14ac:dyDescent="0.2">
      <c r="A23">
        <v>12</v>
      </c>
      <c r="B23">
        <v>192</v>
      </c>
      <c r="C23">
        <v>337</v>
      </c>
      <c r="D23">
        <v>4.3422999999999998</v>
      </c>
      <c r="F23">
        <v>17</v>
      </c>
      <c r="G23">
        <f>D63</f>
        <v>3.5203000000000002</v>
      </c>
      <c r="H23">
        <f>D58</f>
        <v>0.3024</v>
      </c>
      <c r="I23">
        <f>D60</f>
        <v>1.179</v>
      </c>
    </row>
    <row r="24" spans="1:9" x14ac:dyDescent="0.2">
      <c r="A24">
        <v>12</v>
      </c>
      <c r="B24">
        <v>224</v>
      </c>
      <c r="C24">
        <v>355.6</v>
      </c>
      <c r="D24">
        <v>5.1158999999999999</v>
      </c>
      <c r="F24">
        <v>18</v>
      </c>
      <c r="G24">
        <f>D71</f>
        <v>3.6985000000000001</v>
      </c>
      <c r="H24">
        <f>D66</f>
        <v>0.32519999999999999</v>
      </c>
      <c r="I24">
        <f>D68</f>
        <v>1.1451</v>
      </c>
    </row>
    <row r="25" spans="1:9" x14ac:dyDescent="0.2">
      <c r="A25">
        <v>12</v>
      </c>
      <c r="B25">
        <v>256</v>
      </c>
      <c r="C25">
        <v>375.7</v>
      </c>
      <c r="D25">
        <v>6.2378</v>
      </c>
    </row>
    <row r="26" spans="1:9" x14ac:dyDescent="0.2">
      <c r="A26">
        <v>13</v>
      </c>
      <c r="B26">
        <v>32</v>
      </c>
      <c r="C26">
        <v>481</v>
      </c>
      <c r="D26">
        <v>0.32100000000000001</v>
      </c>
    </row>
    <row r="27" spans="1:9" x14ac:dyDescent="0.2">
      <c r="A27">
        <v>13</v>
      </c>
      <c r="B27">
        <v>64</v>
      </c>
      <c r="C27">
        <v>425.3</v>
      </c>
      <c r="D27">
        <v>0.6462</v>
      </c>
    </row>
    <row r="28" spans="1:9" x14ac:dyDescent="0.2">
      <c r="A28">
        <v>13</v>
      </c>
      <c r="B28">
        <v>96</v>
      </c>
      <c r="C28">
        <v>442.8</v>
      </c>
      <c r="D28">
        <v>1.2579</v>
      </c>
    </row>
    <row r="29" spans="1:9" x14ac:dyDescent="0.2">
      <c r="A29">
        <v>13</v>
      </c>
      <c r="B29">
        <v>128</v>
      </c>
      <c r="C29">
        <v>500.4</v>
      </c>
      <c r="D29">
        <v>1.871</v>
      </c>
    </row>
    <row r="30" spans="1:9" x14ac:dyDescent="0.2">
      <c r="A30">
        <v>13</v>
      </c>
      <c r="B30">
        <v>160</v>
      </c>
      <c r="C30">
        <v>530.6</v>
      </c>
      <c r="D30">
        <v>2.9037999999999999</v>
      </c>
    </row>
    <row r="31" spans="1:9" x14ac:dyDescent="0.2">
      <c r="A31">
        <v>13</v>
      </c>
      <c r="B31">
        <v>192</v>
      </c>
      <c r="C31">
        <v>573.29999999999995</v>
      </c>
      <c r="D31">
        <v>3.9620000000000002</v>
      </c>
    </row>
    <row r="32" spans="1:9" x14ac:dyDescent="0.2">
      <c r="A32">
        <v>13</v>
      </c>
      <c r="B32">
        <v>224</v>
      </c>
      <c r="C32">
        <v>595.20000000000005</v>
      </c>
      <c r="D32">
        <v>5.1942000000000004</v>
      </c>
    </row>
    <row r="33" spans="1:4" x14ac:dyDescent="0.2">
      <c r="A33">
        <v>13</v>
      </c>
      <c r="B33">
        <v>256</v>
      </c>
      <c r="C33">
        <v>631</v>
      </c>
      <c r="D33">
        <v>6.7106000000000003</v>
      </c>
    </row>
    <row r="34" spans="1:4" x14ac:dyDescent="0.2">
      <c r="A34">
        <v>14</v>
      </c>
      <c r="B34">
        <v>32</v>
      </c>
      <c r="C34">
        <v>884.8</v>
      </c>
      <c r="D34">
        <v>0.3407</v>
      </c>
    </row>
    <row r="35" spans="1:4" x14ac:dyDescent="0.2">
      <c r="A35">
        <v>14</v>
      </c>
      <c r="B35">
        <v>64</v>
      </c>
      <c r="C35">
        <v>743.1</v>
      </c>
      <c r="D35">
        <v>0.59099999999999997</v>
      </c>
    </row>
    <row r="36" spans="1:4" x14ac:dyDescent="0.2">
      <c r="A36">
        <v>14</v>
      </c>
      <c r="B36">
        <v>96</v>
      </c>
      <c r="C36">
        <v>760</v>
      </c>
      <c r="D36">
        <v>1.2782</v>
      </c>
    </row>
    <row r="37" spans="1:4" x14ac:dyDescent="0.2">
      <c r="A37">
        <v>14</v>
      </c>
      <c r="B37">
        <v>128</v>
      </c>
      <c r="C37">
        <v>846.8</v>
      </c>
      <c r="D37">
        <v>2.0268000000000002</v>
      </c>
    </row>
    <row r="38" spans="1:4" x14ac:dyDescent="0.2">
      <c r="A38">
        <v>14</v>
      </c>
      <c r="B38">
        <v>160</v>
      </c>
      <c r="C38">
        <v>888.7</v>
      </c>
      <c r="D38">
        <v>2.7995000000000001</v>
      </c>
    </row>
    <row r="39" spans="1:4" x14ac:dyDescent="0.2">
      <c r="A39">
        <v>14</v>
      </c>
      <c r="B39">
        <v>192</v>
      </c>
      <c r="C39">
        <v>988.5</v>
      </c>
      <c r="D39">
        <v>3.8439000000000001</v>
      </c>
    </row>
    <row r="40" spans="1:4" x14ac:dyDescent="0.2">
      <c r="A40">
        <v>14</v>
      </c>
      <c r="B40">
        <v>224</v>
      </c>
      <c r="C40">
        <v>1012.1</v>
      </c>
      <c r="D40">
        <v>5.0117000000000003</v>
      </c>
    </row>
    <row r="41" spans="1:4" x14ac:dyDescent="0.2">
      <c r="A41">
        <v>14</v>
      </c>
      <c r="B41">
        <v>256</v>
      </c>
      <c r="C41">
        <v>1078.8</v>
      </c>
      <c r="D41">
        <v>6.3620000000000001</v>
      </c>
    </row>
    <row r="42" spans="1:4" x14ac:dyDescent="0.2">
      <c r="A42">
        <v>15</v>
      </c>
      <c r="B42">
        <v>32</v>
      </c>
      <c r="C42">
        <v>3725.9</v>
      </c>
      <c r="D42">
        <v>0.24840000000000001</v>
      </c>
    </row>
    <row r="43" spans="1:4" x14ac:dyDescent="0.2">
      <c r="A43">
        <v>15</v>
      </c>
      <c r="B43">
        <v>64</v>
      </c>
      <c r="C43">
        <v>3213.2</v>
      </c>
      <c r="D43">
        <v>0.47660000000000002</v>
      </c>
    </row>
    <row r="44" spans="1:4" x14ac:dyDescent="0.2">
      <c r="A44">
        <v>15</v>
      </c>
      <c r="B44">
        <v>96</v>
      </c>
      <c r="C44">
        <v>3936.8</v>
      </c>
      <c r="D44">
        <v>0.79459999999999997</v>
      </c>
    </row>
    <row r="45" spans="1:4" x14ac:dyDescent="0.2">
      <c r="A45">
        <v>15</v>
      </c>
      <c r="B45">
        <v>128</v>
      </c>
      <c r="C45">
        <v>4229.1000000000004</v>
      </c>
      <c r="D45">
        <v>1.1848000000000001</v>
      </c>
    </row>
    <row r="46" spans="1:4" x14ac:dyDescent="0.2">
      <c r="A46">
        <v>15</v>
      </c>
      <c r="B46">
        <v>160</v>
      </c>
      <c r="C46">
        <v>4490.8999999999996</v>
      </c>
      <c r="D46">
        <v>1.5444</v>
      </c>
    </row>
    <row r="47" spans="1:4" x14ac:dyDescent="0.2">
      <c r="A47">
        <v>15</v>
      </c>
      <c r="B47">
        <v>192</v>
      </c>
      <c r="C47">
        <v>6050.7</v>
      </c>
      <c r="D47">
        <v>1.9975000000000001</v>
      </c>
    </row>
    <row r="48" spans="1:4" x14ac:dyDescent="0.2">
      <c r="A48">
        <v>15</v>
      </c>
      <c r="B48">
        <v>224</v>
      </c>
      <c r="C48">
        <v>6476.5</v>
      </c>
      <c r="D48">
        <v>2.4994000000000001</v>
      </c>
    </row>
    <row r="49" spans="1:4" x14ac:dyDescent="0.2">
      <c r="A49">
        <v>15</v>
      </c>
      <c r="B49">
        <v>256</v>
      </c>
      <c r="C49">
        <v>7488.5</v>
      </c>
      <c r="D49">
        <v>2.9392</v>
      </c>
    </row>
    <row r="50" spans="1:4" x14ac:dyDescent="0.2">
      <c r="A50">
        <v>16</v>
      </c>
      <c r="B50">
        <v>32</v>
      </c>
      <c r="C50">
        <v>9728.9</v>
      </c>
      <c r="D50">
        <v>0.248</v>
      </c>
    </row>
    <row r="51" spans="1:4" x14ac:dyDescent="0.2">
      <c r="A51">
        <v>16</v>
      </c>
      <c r="B51">
        <v>64</v>
      </c>
      <c r="C51">
        <v>6550.4</v>
      </c>
      <c r="D51">
        <v>0.52790000000000004</v>
      </c>
    </row>
    <row r="52" spans="1:4" x14ac:dyDescent="0.2">
      <c r="A52">
        <v>16</v>
      </c>
      <c r="B52">
        <v>96</v>
      </c>
      <c r="C52">
        <v>6308.6</v>
      </c>
      <c r="D52">
        <v>0.80759999999999998</v>
      </c>
    </row>
    <row r="53" spans="1:4" x14ac:dyDescent="0.2">
      <c r="A53">
        <v>16</v>
      </c>
      <c r="B53">
        <v>128</v>
      </c>
      <c r="C53">
        <v>6090.9</v>
      </c>
      <c r="D53">
        <v>1.139</v>
      </c>
    </row>
    <row r="54" spans="1:4" x14ac:dyDescent="0.2">
      <c r="A54">
        <v>16</v>
      </c>
      <c r="B54">
        <v>160</v>
      </c>
      <c r="C54">
        <v>7188.6</v>
      </c>
      <c r="D54">
        <v>1.5057</v>
      </c>
    </row>
    <row r="55" spans="1:4" x14ac:dyDescent="0.2">
      <c r="A55">
        <v>16</v>
      </c>
      <c r="B55">
        <v>192</v>
      </c>
      <c r="C55">
        <v>7305.3</v>
      </c>
      <c r="D55">
        <v>1.9094</v>
      </c>
    </row>
    <row r="56" spans="1:4" x14ac:dyDescent="0.2">
      <c r="A56">
        <v>16</v>
      </c>
      <c r="B56">
        <v>224</v>
      </c>
      <c r="C56">
        <v>8069.8</v>
      </c>
      <c r="D56">
        <v>2.3006000000000002</v>
      </c>
    </row>
    <row r="57" spans="1:4" x14ac:dyDescent="0.2">
      <c r="A57">
        <v>16</v>
      </c>
      <c r="B57">
        <v>256</v>
      </c>
      <c r="C57">
        <v>8456.7999999999993</v>
      </c>
      <c r="D57">
        <v>2.839</v>
      </c>
    </row>
    <row r="58" spans="1:4" x14ac:dyDescent="0.2">
      <c r="A58">
        <v>17</v>
      </c>
      <c r="B58">
        <v>32</v>
      </c>
      <c r="C58">
        <v>49581.4</v>
      </c>
      <c r="D58">
        <v>0.3024</v>
      </c>
    </row>
    <row r="59" spans="1:4" x14ac:dyDescent="0.2">
      <c r="A59">
        <v>17</v>
      </c>
      <c r="B59">
        <v>64</v>
      </c>
      <c r="C59">
        <v>26587.4</v>
      </c>
      <c r="D59">
        <v>0.66669999999999996</v>
      </c>
    </row>
    <row r="60" spans="1:4" x14ac:dyDescent="0.2">
      <c r="A60">
        <v>17</v>
      </c>
      <c r="B60">
        <v>96</v>
      </c>
      <c r="C60">
        <v>22472.1</v>
      </c>
      <c r="D60">
        <v>1.179</v>
      </c>
    </row>
    <row r="61" spans="1:4" x14ac:dyDescent="0.2">
      <c r="A61">
        <v>17</v>
      </c>
      <c r="B61">
        <v>128</v>
      </c>
      <c r="C61">
        <v>16816.099999999999</v>
      </c>
      <c r="D61">
        <v>1.8332999999999999</v>
      </c>
    </row>
    <row r="62" spans="1:4" x14ac:dyDescent="0.2">
      <c r="A62">
        <v>17</v>
      </c>
      <c r="B62">
        <v>160</v>
      </c>
      <c r="C62">
        <v>18198.900000000001</v>
      </c>
      <c r="D62">
        <v>2.7732000000000001</v>
      </c>
    </row>
    <row r="63" spans="1:4" x14ac:dyDescent="0.2">
      <c r="A63">
        <v>17</v>
      </c>
      <c r="B63">
        <v>192</v>
      </c>
      <c r="C63">
        <v>20725.7</v>
      </c>
      <c r="D63">
        <v>3.5203000000000002</v>
      </c>
    </row>
    <row r="64" spans="1:4" x14ac:dyDescent="0.2">
      <c r="A64">
        <v>17</v>
      </c>
      <c r="B64">
        <v>224</v>
      </c>
      <c r="C64">
        <v>19718.900000000001</v>
      </c>
      <c r="D64">
        <v>3.8349000000000002</v>
      </c>
    </row>
    <row r="65" spans="1:10" x14ac:dyDescent="0.2">
      <c r="A65">
        <v>17</v>
      </c>
      <c r="B65">
        <v>256</v>
      </c>
      <c r="C65">
        <v>19737</v>
      </c>
      <c r="D65">
        <v>4.3670999999999998</v>
      </c>
    </row>
    <row r="66" spans="1:10" x14ac:dyDescent="0.2">
      <c r="A66">
        <v>18</v>
      </c>
      <c r="B66">
        <v>32</v>
      </c>
      <c r="C66">
        <v>227622.6</v>
      </c>
      <c r="D66">
        <v>0.32519999999999999</v>
      </c>
    </row>
    <row r="67" spans="1:10" x14ac:dyDescent="0.2">
      <c r="A67">
        <v>18</v>
      </c>
      <c r="B67">
        <v>64</v>
      </c>
      <c r="C67">
        <v>138852.9</v>
      </c>
      <c r="D67">
        <v>0.66369999999999996</v>
      </c>
    </row>
    <row r="68" spans="1:10" x14ac:dyDescent="0.2">
      <c r="A68">
        <v>18</v>
      </c>
      <c r="B68">
        <v>96</v>
      </c>
      <c r="C68">
        <v>114043.9</v>
      </c>
      <c r="D68">
        <v>1.1451</v>
      </c>
    </row>
    <row r="69" spans="1:10" x14ac:dyDescent="0.2">
      <c r="A69">
        <v>18</v>
      </c>
      <c r="B69">
        <v>128</v>
      </c>
      <c r="C69">
        <v>91447</v>
      </c>
      <c r="D69">
        <v>1.9026000000000001</v>
      </c>
    </row>
    <row r="70" spans="1:10" x14ac:dyDescent="0.2">
      <c r="A70">
        <v>18</v>
      </c>
      <c r="B70">
        <v>160</v>
      </c>
      <c r="C70">
        <v>85845.4</v>
      </c>
      <c r="D70">
        <v>2.8679999999999999</v>
      </c>
    </row>
    <row r="71" spans="1:10" x14ac:dyDescent="0.2">
      <c r="A71">
        <v>18</v>
      </c>
      <c r="B71">
        <v>192</v>
      </c>
      <c r="C71">
        <v>82812.2</v>
      </c>
      <c r="D71">
        <v>3.6985000000000001</v>
      </c>
    </row>
    <row r="72" spans="1:10" x14ac:dyDescent="0.2">
      <c r="A72">
        <v>18</v>
      </c>
      <c r="B72">
        <v>224</v>
      </c>
      <c r="C72">
        <v>93098.2</v>
      </c>
      <c r="D72">
        <v>5.0762999999999998</v>
      </c>
    </row>
    <row r="73" spans="1:10" x14ac:dyDescent="0.2">
      <c r="A73">
        <v>18</v>
      </c>
      <c r="B73">
        <v>256</v>
      </c>
      <c r="C73">
        <v>87560</v>
      </c>
      <c r="D73">
        <v>6.4187000000000003</v>
      </c>
    </row>
    <row r="76" spans="1:10" x14ac:dyDescent="0.2">
      <c r="A76" t="s">
        <v>3</v>
      </c>
      <c r="B76" t="s">
        <v>4</v>
      </c>
      <c r="C76" t="s">
        <v>5</v>
      </c>
      <c r="D76" t="s">
        <v>6</v>
      </c>
      <c r="E76" t="s">
        <v>7</v>
      </c>
      <c r="F76" t="s">
        <v>8</v>
      </c>
      <c r="G76" t="s">
        <v>9</v>
      </c>
      <c r="H76">
        <v>12</v>
      </c>
      <c r="I76">
        <v>11</v>
      </c>
      <c r="J76">
        <v>10</v>
      </c>
    </row>
    <row r="77" spans="1:10" x14ac:dyDescent="0.2">
      <c r="A77">
        <v>32</v>
      </c>
      <c r="B77">
        <v>227622.6</v>
      </c>
      <c r="C77">
        <v>49581.4</v>
      </c>
      <c r="D77">
        <v>9728.9</v>
      </c>
      <c r="E77">
        <v>3725.9</v>
      </c>
      <c r="F77">
        <v>884.8</v>
      </c>
    </row>
    <row r="78" spans="1:10" x14ac:dyDescent="0.2">
      <c r="A78">
        <v>64</v>
      </c>
      <c r="B78">
        <v>138852.9</v>
      </c>
      <c r="C78">
        <v>26587.4</v>
      </c>
      <c r="D78">
        <v>6550.4</v>
      </c>
      <c r="E78">
        <v>3213.2</v>
      </c>
      <c r="F78">
        <v>743.1</v>
      </c>
    </row>
    <row r="79" spans="1:10" x14ac:dyDescent="0.2">
      <c r="A79">
        <v>96</v>
      </c>
      <c r="B79">
        <v>114043.9</v>
      </c>
      <c r="C79">
        <v>22472.1</v>
      </c>
      <c r="D79">
        <v>6308.6</v>
      </c>
      <c r="E79">
        <v>3936.8</v>
      </c>
      <c r="F79">
        <v>760</v>
      </c>
    </row>
    <row r="80" spans="1:10" x14ac:dyDescent="0.2">
      <c r="A80">
        <v>128</v>
      </c>
      <c r="B80">
        <v>91447</v>
      </c>
      <c r="C80">
        <v>16816.099999999999</v>
      </c>
      <c r="D80">
        <v>6090.9</v>
      </c>
      <c r="E80">
        <v>4229.1000000000004</v>
      </c>
      <c r="F80">
        <v>846.8</v>
      </c>
    </row>
    <row r="81" spans="1:7" x14ac:dyDescent="0.2">
      <c r="A81">
        <v>160</v>
      </c>
      <c r="B81">
        <v>85845.4</v>
      </c>
      <c r="C81">
        <v>18198.900000000001</v>
      </c>
      <c r="D81">
        <v>7188.6</v>
      </c>
      <c r="E81">
        <v>4490.8999999999996</v>
      </c>
      <c r="F81">
        <v>888.7</v>
      </c>
    </row>
    <row r="82" spans="1:7" x14ac:dyDescent="0.2">
      <c r="A82">
        <v>192</v>
      </c>
      <c r="B82">
        <v>82812.2</v>
      </c>
      <c r="C82">
        <v>20725.7</v>
      </c>
      <c r="D82">
        <v>7305.3</v>
      </c>
      <c r="E82">
        <v>6050.7</v>
      </c>
      <c r="F82">
        <v>988.5</v>
      </c>
    </row>
    <row r="83" spans="1:7" x14ac:dyDescent="0.2">
      <c r="A83">
        <v>224</v>
      </c>
      <c r="B83">
        <v>93098.2</v>
      </c>
      <c r="C83">
        <v>19718.900000000001</v>
      </c>
      <c r="D83">
        <v>8069.8</v>
      </c>
      <c r="E83">
        <v>6476.5</v>
      </c>
      <c r="F83">
        <v>1012.1</v>
      </c>
    </row>
    <row r="84" spans="1:7" x14ac:dyDescent="0.2">
      <c r="A84">
        <v>256</v>
      </c>
      <c r="B84">
        <v>87560</v>
      </c>
      <c r="C84">
        <v>19737</v>
      </c>
      <c r="D84">
        <v>8456.7999999999993</v>
      </c>
      <c r="E84">
        <v>7488.5</v>
      </c>
      <c r="F84">
        <v>1078.8</v>
      </c>
    </row>
    <row r="85" spans="1:7" x14ac:dyDescent="0.2">
      <c r="B85">
        <f>MIN(B77:B84)</f>
        <v>82812.2</v>
      </c>
      <c r="C85">
        <f t="shared" ref="C85:F85" si="0">MIN(C77:C84)</f>
        <v>16816.099999999999</v>
      </c>
      <c r="D85">
        <f t="shared" si="0"/>
        <v>6090.9</v>
      </c>
      <c r="E85">
        <f t="shared" si="0"/>
        <v>3213.2</v>
      </c>
      <c r="F85">
        <f t="shared" si="0"/>
        <v>743.1</v>
      </c>
    </row>
    <row r="87" spans="1:7" x14ac:dyDescent="0.2">
      <c r="A87" t="s">
        <v>21</v>
      </c>
      <c r="B87">
        <v>5000000</v>
      </c>
      <c r="C87">
        <v>480000</v>
      </c>
      <c r="D87">
        <v>480000</v>
      </c>
      <c r="E87">
        <v>1000</v>
      </c>
      <c r="F87">
        <v>1000</v>
      </c>
      <c r="G87">
        <v>1000</v>
      </c>
    </row>
    <row r="89" spans="1:7" x14ac:dyDescent="0.2">
      <c r="B89" t="s">
        <v>4</v>
      </c>
      <c r="C89" t="s">
        <v>5</v>
      </c>
      <c r="D89" t="s">
        <v>6</v>
      </c>
      <c r="E89" t="s">
        <v>7</v>
      </c>
      <c r="F89" t="s">
        <v>8</v>
      </c>
      <c r="G89" t="s">
        <v>9</v>
      </c>
    </row>
    <row r="90" spans="1:7" x14ac:dyDescent="0.2">
      <c r="A90">
        <v>32</v>
      </c>
      <c r="B90">
        <f>B$87/B77</f>
        <v>21.966184377122481</v>
      </c>
      <c r="C90">
        <f t="shared" ref="C90:G90" si="1">C$87/C77</f>
        <v>9.6810497484943951</v>
      </c>
      <c r="D90">
        <f>D$87/D77</f>
        <v>49.337540729167742</v>
      </c>
      <c r="E90">
        <f t="shared" si="1"/>
        <v>0.26839152956332696</v>
      </c>
      <c r="F90">
        <f t="shared" si="1"/>
        <v>1.1301989150090417</v>
      </c>
      <c r="G90" t="e">
        <f t="shared" si="1"/>
        <v>#DIV/0!</v>
      </c>
    </row>
    <row r="91" spans="1:7" x14ac:dyDescent="0.2">
      <c r="A91">
        <v>64</v>
      </c>
      <c r="B91">
        <f t="shared" ref="B91:G97" si="2">B$87/B78</f>
        <v>36.009330737780772</v>
      </c>
      <c r="C91">
        <f t="shared" si="2"/>
        <v>18.053664517779097</v>
      </c>
      <c r="D91">
        <f t="shared" si="2"/>
        <v>73.277967757694185</v>
      </c>
      <c r="E91">
        <f t="shared" si="2"/>
        <v>0.31121623303871532</v>
      </c>
      <c r="F91">
        <f t="shared" si="2"/>
        <v>1.3457139012245996</v>
      </c>
      <c r="G91" t="e">
        <f t="shared" si="2"/>
        <v>#DIV/0!</v>
      </c>
    </row>
    <row r="92" spans="1:7" x14ac:dyDescent="0.2">
      <c r="A92">
        <v>96</v>
      </c>
      <c r="B92">
        <f t="shared" si="2"/>
        <v>43.84276581211271</v>
      </c>
      <c r="C92">
        <f t="shared" si="2"/>
        <v>21.359819509525146</v>
      </c>
      <c r="D92">
        <f t="shared" si="2"/>
        <v>76.08661192657641</v>
      </c>
      <c r="E92">
        <f t="shared" si="2"/>
        <v>0.25401341190814875</v>
      </c>
      <c r="F92">
        <f t="shared" si="2"/>
        <v>1.3157894736842106</v>
      </c>
      <c r="G92" t="e">
        <f t="shared" si="2"/>
        <v>#DIV/0!</v>
      </c>
    </row>
    <row r="93" spans="1:7" x14ac:dyDescent="0.2">
      <c r="A93">
        <v>128</v>
      </c>
      <c r="B93">
        <f t="shared" si="2"/>
        <v>54.676479272146707</v>
      </c>
      <c r="C93">
        <f t="shared" si="2"/>
        <v>28.544073834004319</v>
      </c>
      <c r="D93">
        <f t="shared" si="2"/>
        <v>78.806087770280257</v>
      </c>
      <c r="E93">
        <f t="shared" si="2"/>
        <v>0.23645692937031518</v>
      </c>
      <c r="F93">
        <f t="shared" si="2"/>
        <v>1.1809163911195089</v>
      </c>
      <c r="G93" t="e">
        <f t="shared" si="2"/>
        <v>#DIV/0!</v>
      </c>
    </row>
    <row r="94" spans="1:7" x14ac:dyDescent="0.2">
      <c r="A94">
        <v>160</v>
      </c>
      <c r="B94">
        <f t="shared" si="2"/>
        <v>58.24423906231435</v>
      </c>
      <c r="C94">
        <f t="shared" si="2"/>
        <v>26.375220480358699</v>
      </c>
      <c r="D94">
        <f t="shared" si="2"/>
        <v>66.772389616893406</v>
      </c>
      <c r="E94">
        <f t="shared" si="2"/>
        <v>0.22267251553140799</v>
      </c>
      <c r="F94">
        <f t="shared" si="2"/>
        <v>1.1252391133115787</v>
      </c>
      <c r="G94" t="e">
        <f t="shared" si="2"/>
        <v>#DIV/0!</v>
      </c>
    </row>
    <row r="95" spans="1:7" x14ac:dyDescent="0.2">
      <c r="A95">
        <v>192</v>
      </c>
      <c r="B95">
        <f t="shared" si="2"/>
        <v>60.377577216883502</v>
      </c>
      <c r="C95">
        <f t="shared" si="2"/>
        <v>23.159652026228304</v>
      </c>
      <c r="D95">
        <f t="shared" si="2"/>
        <v>65.705720504291406</v>
      </c>
      <c r="E95">
        <f t="shared" si="2"/>
        <v>0.1652701340340787</v>
      </c>
      <c r="F95">
        <f t="shared" si="2"/>
        <v>1.0116337885685383</v>
      </c>
      <c r="G95" t="e">
        <f t="shared" si="2"/>
        <v>#DIV/0!</v>
      </c>
    </row>
    <row r="96" spans="1:7" x14ac:dyDescent="0.2">
      <c r="A96">
        <v>224</v>
      </c>
      <c r="B96">
        <f t="shared" si="2"/>
        <v>53.706731172031255</v>
      </c>
      <c r="C96">
        <f t="shared" si="2"/>
        <v>24.342128617722082</v>
      </c>
      <c r="D96">
        <f t="shared" si="2"/>
        <v>59.481028030434459</v>
      </c>
      <c r="E96">
        <f t="shared" si="2"/>
        <v>0.15440438508453641</v>
      </c>
      <c r="F96">
        <f t="shared" si="2"/>
        <v>0.98804465961861476</v>
      </c>
      <c r="G96" t="e">
        <f t="shared" si="2"/>
        <v>#DIV/0!</v>
      </c>
    </row>
    <row r="97" spans="1:7" x14ac:dyDescent="0.2">
      <c r="A97">
        <v>256</v>
      </c>
      <c r="B97">
        <f t="shared" si="2"/>
        <v>57.103700319780721</v>
      </c>
      <c r="C97">
        <f t="shared" si="2"/>
        <v>24.319805441556468</v>
      </c>
      <c r="D97">
        <f t="shared" si="2"/>
        <v>56.75905779964053</v>
      </c>
      <c r="E97">
        <f t="shared" si="2"/>
        <v>0.13353809174066902</v>
      </c>
      <c r="F97">
        <f t="shared" si="2"/>
        <v>0.9269558769002596</v>
      </c>
      <c r="G97" t="e">
        <f t="shared" si="2"/>
        <v>#DIV/0!</v>
      </c>
    </row>
    <row r="99" spans="1:7" x14ac:dyDescent="0.2">
      <c r="A99" t="s">
        <v>22</v>
      </c>
      <c r="B99" t="s">
        <v>4</v>
      </c>
      <c r="C99" t="s">
        <v>5</v>
      </c>
      <c r="D99" t="s">
        <v>6</v>
      </c>
      <c r="E99" t="s">
        <v>7</v>
      </c>
      <c r="F99" t="s">
        <v>8</v>
      </c>
      <c r="G99" t="s">
        <v>9</v>
      </c>
    </row>
    <row r="100" spans="1:7" x14ac:dyDescent="0.2">
      <c r="A100">
        <v>32</v>
      </c>
      <c r="B100">
        <f>B90/$A100</f>
        <v>0.68644326178507753</v>
      </c>
      <c r="C100">
        <f t="shared" ref="C100:G100" si="3">C90/$A100</f>
        <v>0.30253280464044985</v>
      </c>
      <c r="D100">
        <f t="shared" si="3"/>
        <v>1.5417981477864919</v>
      </c>
      <c r="E100">
        <f t="shared" si="3"/>
        <v>8.3872352988539674E-3</v>
      </c>
      <c r="F100">
        <f t="shared" si="3"/>
        <v>3.5318716094032553E-2</v>
      </c>
      <c r="G100" t="e">
        <f>G90/$A100</f>
        <v>#DIV/0!</v>
      </c>
    </row>
    <row r="101" spans="1:7" x14ac:dyDescent="0.2">
      <c r="A101">
        <v>64</v>
      </c>
      <c r="B101">
        <f t="shared" ref="B101:G107" si="4">B91/$A101</f>
        <v>0.56264579277782456</v>
      </c>
      <c r="C101">
        <f t="shared" si="4"/>
        <v>0.2820885080902984</v>
      </c>
      <c r="D101">
        <f t="shared" si="4"/>
        <v>1.1449682462139716</v>
      </c>
      <c r="E101">
        <f t="shared" si="4"/>
        <v>4.8627536412299268E-3</v>
      </c>
      <c r="F101">
        <f t="shared" si="4"/>
        <v>2.1026779706634368E-2</v>
      </c>
      <c r="G101" t="e">
        <f t="shared" si="4"/>
        <v>#DIV/0!</v>
      </c>
    </row>
    <row r="102" spans="1:7" x14ac:dyDescent="0.2">
      <c r="A102">
        <v>96</v>
      </c>
      <c r="B102">
        <f t="shared" si="4"/>
        <v>0.45669547720950737</v>
      </c>
      <c r="C102">
        <f t="shared" si="4"/>
        <v>0.22249811989088694</v>
      </c>
      <c r="D102">
        <f t="shared" si="4"/>
        <v>0.79256887423517097</v>
      </c>
      <c r="E102">
        <f t="shared" si="4"/>
        <v>2.6459730407098828E-3</v>
      </c>
      <c r="F102">
        <f t="shared" si="4"/>
        <v>1.3706140350877194E-2</v>
      </c>
      <c r="G102" t="e">
        <f t="shared" si="4"/>
        <v>#DIV/0!</v>
      </c>
    </row>
    <row r="103" spans="1:7" x14ac:dyDescent="0.2">
      <c r="A103">
        <v>128</v>
      </c>
      <c r="B103">
        <f t="shared" si="4"/>
        <v>0.42715999431364615</v>
      </c>
      <c r="C103">
        <f t="shared" si="4"/>
        <v>0.22300057682815874</v>
      </c>
      <c r="D103">
        <f t="shared" si="4"/>
        <v>0.61567256070531451</v>
      </c>
      <c r="E103">
        <f t="shared" si="4"/>
        <v>1.8473197607055873E-3</v>
      </c>
      <c r="F103">
        <f t="shared" si="4"/>
        <v>9.2259093056211629E-3</v>
      </c>
      <c r="G103" t="e">
        <f t="shared" si="4"/>
        <v>#DIV/0!</v>
      </c>
    </row>
    <row r="104" spans="1:7" x14ac:dyDescent="0.2">
      <c r="A104">
        <v>160</v>
      </c>
      <c r="B104">
        <f t="shared" si="4"/>
        <v>0.3640264941394647</v>
      </c>
      <c r="C104">
        <f t="shared" si="4"/>
        <v>0.16484512800224188</v>
      </c>
      <c r="D104">
        <f t="shared" si="4"/>
        <v>0.41732743510558379</v>
      </c>
      <c r="E104">
        <f t="shared" si="4"/>
        <v>1.3917032220712999E-3</v>
      </c>
      <c r="F104">
        <f t="shared" si="4"/>
        <v>7.0327444581973668E-3</v>
      </c>
      <c r="G104" t="e">
        <f t="shared" si="4"/>
        <v>#DIV/0!</v>
      </c>
    </row>
    <row r="105" spans="1:7" x14ac:dyDescent="0.2">
      <c r="A105">
        <v>192</v>
      </c>
      <c r="B105">
        <f t="shared" si="4"/>
        <v>0.31446654800460155</v>
      </c>
      <c r="C105">
        <f t="shared" si="4"/>
        <v>0.12062318763660575</v>
      </c>
      <c r="D105">
        <f t="shared" si="4"/>
        <v>0.34221729429318443</v>
      </c>
      <c r="E105">
        <f t="shared" si="4"/>
        <v>8.6078194809415985E-4</v>
      </c>
      <c r="F105">
        <f t="shared" si="4"/>
        <v>5.2689259821278034E-3</v>
      </c>
      <c r="G105" t="e">
        <f t="shared" si="4"/>
        <v>#DIV/0!</v>
      </c>
    </row>
    <row r="106" spans="1:7" x14ac:dyDescent="0.2">
      <c r="A106">
        <v>224</v>
      </c>
      <c r="B106">
        <f t="shared" si="4"/>
        <v>0.23976219273228239</v>
      </c>
      <c r="C106">
        <f t="shared" si="4"/>
        <v>0.10867021704340216</v>
      </c>
      <c r="D106">
        <f t="shared" si="4"/>
        <v>0.2655403037072967</v>
      </c>
      <c r="E106">
        <f t="shared" si="4"/>
        <v>6.8930529055596609E-4</v>
      </c>
      <c r="F106">
        <f t="shared" si="4"/>
        <v>4.4109136590116732E-3</v>
      </c>
      <c r="G106" t="e">
        <f t="shared" si="4"/>
        <v>#DIV/0!</v>
      </c>
    </row>
    <row r="107" spans="1:7" x14ac:dyDescent="0.2">
      <c r="A107">
        <v>256</v>
      </c>
      <c r="B107">
        <f t="shared" si="4"/>
        <v>0.22306132937414344</v>
      </c>
      <c r="C107">
        <f t="shared" si="4"/>
        <v>9.4999240006079955E-2</v>
      </c>
      <c r="D107">
        <f t="shared" si="4"/>
        <v>0.22171506952984582</v>
      </c>
      <c r="E107">
        <f t="shared" si="4"/>
        <v>5.2163317086198837E-4</v>
      </c>
      <c r="F107">
        <f>F97/$A107</f>
        <v>3.6209213941416391E-3</v>
      </c>
      <c r="G107" t="e">
        <f t="shared" si="4"/>
        <v>#DIV/0!</v>
      </c>
    </row>
  </sheetData>
  <pageMargins left="0.7" right="0.7" top="0.75" bottom="0.75" header="0.3" footer="0.3"/>
  <drawing r:id="rId1"/>
</worksheet>
</file>

<file path=docProps/app.xml><?xml version="1.0" encoding="utf-8"?>
<Properties xmlns="http://purl.oclc.org/ooxml/officeDocument/extendedProperties" xmlns:vt="http://purl.oclc.org/ooxml/officeDocument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empty-queue-data</vt:lpstr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baptiste dupertuis</dc:creator>
  <cp:lastModifiedBy>baptiste dupertuis</cp:lastModifiedBy>
  <dcterms:created xsi:type="dcterms:W3CDTF">2025-01-02T11:41:27Z</dcterms:created>
  <dcterms:modified xsi:type="dcterms:W3CDTF">2025-01-02T17:38:32Z</dcterms:modified>
</cp:coreProperties>
</file>